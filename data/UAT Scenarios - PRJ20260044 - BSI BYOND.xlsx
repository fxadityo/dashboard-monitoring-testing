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D:\01_MUF - ADITYO\04 Projects\01 Projects\2026\149 PRJ20260044 - BSI BYOND\"/>
    </mc:Choice>
  </mc:AlternateContent>
  <xr:revisionPtr revIDLastSave="0" documentId="13_ncr:1_{1F351791-03D2-47F9-9635-7D2F0BB21858}" xr6:coauthVersionLast="47" xr6:coauthVersionMax="47" xr10:uidLastSave="{00000000-0000-0000-0000-000000000000}"/>
  <bookViews>
    <workbookView xWindow="-108" yWindow="-108" windowWidth="23256" windowHeight="13896" activeTab="3" xr2:uid="{00000000-000D-0000-FFFF-FFFF00000000}"/>
  </bookViews>
  <sheets>
    <sheet name="MAPPING MD &amp; SKENARIO" sheetId="12" r:id="rId1"/>
    <sheet name="MATRIX KONTRAK" sheetId="10" r:id="rId2"/>
    <sheet name="TEST CASES" sheetId="13" r:id="rId3"/>
    <sheet name="DASHBOARD PROGRESS" sheetId="3" r:id="rId4"/>
    <sheet name="DEFECT LOG" sheetId="8" r:id="rId5"/>
    <sheet name="PANDUAN" sheetId="9" r:id="rId6"/>
    <sheet name="LOOKUP" sheetId="4" r:id="rId7"/>
    <sheet name="RTM" sheetId="6" r:id="rId8"/>
    <sheet name="DASHBOARD" sheetId="7" r:id="rId9"/>
  </sheets>
  <externalReferences>
    <externalReference r:id="rId10"/>
    <externalReference r:id="rId11"/>
  </externalReferences>
  <definedNames>
    <definedName name="_xlnm._FilterDatabase" localSheetId="0" hidden="1">'MAPPING MD &amp; SKENARIO'!$A$25:$C$25</definedName>
    <definedName name="_xlnm._FilterDatabase" localSheetId="1" hidden="1">'MATRIX KONTRAK'!$A$3:$V$42</definedName>
    <definedName name="PICUAT">#REF!</definedName>
    <definedName name="SDefect">[1]Lookup!$G$1:$G$9</definedName>
    <definedName name="Severity">[1]Lookup!$F$1:$F$6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F2" i="3"/>
  <c r="E2" i="3"/>
  <c r="C2" i="3"/>
  <c r="B2" i="3" l="1"/>
  <c r="A2" i="3"/>
  <c r="M5" i="13"/>
  <c r="M6" i="13"/>
  <c r="M7" i="13"/>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80" i="13"/>
  <c r="M81" i="13"/>
  <c r="M82" i="13"/>
  <c r="M83" i="13"/>
  <c r="M84" i="13"/>
  <c r="M85" i="13"/>
  <c r="M86" i="13"/>
  <c r="M87" i="13"/>
  <c r="M88" i="13"/>
  <c r="M89" i="13"/>
  <c r="M90" i="13"/>
  <c r="M91" i="13"/>
  <c r="M92" i="13"/>
  <c r="M93" i="13"/>
  <c r="M94" i="13"/>
  <c r="M95" i="13"/>
  <c r="M96" i="13"/>
  <c r="M97" i="13"/>
  <c r="M98" i="13"/>
  <c r="M99" i="13"/>
  <c r="M100" i="13"/>
  <c r="M101" i="13"/>
  <c r="M102" i="13"/>
  <c r="M103" i="13"/>
  <c r="M104" i="13"/>
  <c r="M105" i="13"/>
  <c r="M106" i="13"/>
  <c r="M107" i="13"/>
  <c r="M108" i="13"/>
  <c r="M109" i="13"/>
  <c r="M110" i="13"/>
  <c r="M111" i="13"/>
  <c r="M112" i="13"/>
  <c r="M113" i="13"/>
  <c r="M114" i="13"/>
  <c r="M115" i="13"/>
  <c r="M116" i="13"/>
  <c r="M117" i="13"/>
  <c r="M118" i="13"/>
  <c r="M119" i="13"/>
  <c r="M120" i="13"/>
  <c r="M121" i="13"/>
  <c r="M122" i="13"/>
  <c r="M123" i="13"/>
  <c r="M124" i="13"/>
  <c r="M125" i="13"/>
  <c r="M126" i="13"/>
  <c r="M127" i="13"/>
  <c r="M128" i="13"/>
  <c r="M129" i="13"/>
  <c r="M130" i="13"/>
  <c r="M131" i="13"/>
  <c r="M132" i="13"/>
  <c r="M133" i="13"/>
  <c r="M134" i="13"/>
  <c r="M135" i="13"/>
  <c r="M136" i="13"/>
  <c r="M137" i="13"/>
  <c r="M138" i="13"/>
  <c r="M139" i="13"/>
  <c r="M140" i="13"/>
  <c r="M141" i="13"/>
  <c r="M142" i="13"/>
  <c r="M143" i="13"/>
  <c r="M144" i="13"/>
  <c r="M145" i="13"/>
  <c r="M146" i="13"/>
  <c r="M147" i="13"/>
  <c r="M148" i="13"/>
  <c r="M149" i="13"/>
  <c r="M150" i="13"/>
  <c r="M151" i="13"/>
  <c r="M152" i="13"/>
  <c r="M153" i="13"/>
  <c r="M154" i="13"/>
  <c r="M155" i="13"/>
  <c r="M156" i="13"/>
  <c r="M157" i="13"/>
  <c r="M158" i="13"/>
  <c r="M159" i="13"/>
  <c r="M160" i="13"/>
  <c r="M161" i="13"/>
  <c r="M162" i="13"/>
  <c r="M163" i="13"/>
  <c r="M164" i="13"/>
  <c r="M165" i="13"/>
  <c r="M166" i="13"/>
  <c r="M167" i="13"/>
  <c r="M168" i="13"/>
  <c r="M169" i="13"/>
  <c r="M170" i="13"/>
  <c r="M171" i="13"/>
  <c r="M172" i="13"/>
  <c r="M173" i="13"/>
  <c r="M174" i="13"/>
  <c r="M175" i="13"/>
  <c r="M176" i="13"/>
  <c r="M177" i="13"/>
  <c r="M178" i="13"/>
  <c r="M179" i="13"/>
  <c r="M180" i="13"/>
  <c r="M181" i="13"/>
  <c r="M182" i="13"/>
  <c r="M183" i="13"/>
  <c r="M184" i="13"/>
  <c r="M185" i="13"/>
  <c r="M186" i="13"/>
  <c r="M187" i="13"/>
  <c r="M188" i="13"/>
  <c r="M189" i="13"/>
  <c r="M190" i="13"/>
  <c r="M191" i="13"/>
  <c r="M192" i="13"/>
  <c r="M193" i="13"/>
  <c r="M194" i="13"/>
  <c r="M195" i="13"/>
  <c r="M196" i="13"/>
  <c r="M197" i="13"/>
  <c r="M198" i="13"/>
  <c r="M199" i="13"/>
  <c r="M200" i="13"/>
  <c r="M201" i="13"/>
  <c r="M202" i="13"/>
  <c r="M203" i="13"/>
  <c r="M204" i="13"/>
  <c r="M205" i="13"/>
  <c r="M206" i="13"/>
  <c r="M207" i="13"/>
  <c r="M208" i="13"/>
  <c r="M209" i="13"/>
  <c r="M210" i="13"/>
  <c r="M211" i="13"/>
  <c r="M212" i="13"/>
  <c r="M213" i="13"/>
  <c r="M214" i="13"/>
  <c r="M215" i="13"/>
  <c r="M216" i="13"/>
  <c r="M217" i="13"/>
  <c r="M218" i="13"/>
  <c r="M219" i="13"/>
  <c r="M220" i="13"/>
  <c r="M221" i="13"/>
  <c r="M222" i="13"/>
  <c r="M223" i="13"/>
  <c r="M224" i="13"/>
  <c r="M225" i="13"/>
  <c r="M226" i="13"/>
  <c r="M227" i="13"/>
  <c r="M228" i="13"/>
  <c r="M229" i="13"/>
  <c r="M230" i="13"/>
  <c r="M231" i="13"/>
  <c r="M232" i="13"/>
  <c r="M233" i="13"/>
  <c r="M234" i="13"/>
  <c r="M235" i="13"/>
  <c r="M236" i="13"/>
  <c r="M237" i="13"/>
  <c r="M238" i="13"/>
  <c r="M239" i="13"/>
  <c r="M240" i="13"/>
  <c r="M241" i="13"/>
  <c r="M242" i="13"/>
  <c r="M243" i="13"/>
  <c r="M244" i="13"/>
  <c r="M245" i="13"/>
  <c r="M246" i="13"/>
  <c r="M247" i="13"/>
  <c r="M248" i="13"/>
  <c r="M249" i="13"/>
  <c r="M250" i="13"/>
  <c r="M251" i="13"/>
  <c r="M252" i="13"/>
  <c r="M253" i="13"/>
  <c r="M254" i="13"/>
  <c r="M255" i="13"/>
  <c r="M256" i="13"/>
  <c r="M257" i="13"/>
  <c r="M258" i="13"/>
  <c r="M259" i="13"/>
  <c r="M260" i="13"/>
  <c r="M261" i="13"/>
  <c r="M262" i="13"/>
  <c r="M263" i="13"/>
  <c r="M264" i="13"/>
  <c r="M265" i="13"/>
  <c r="M266" i="13"/>
  <c r="M267" i="13"/>
  <c r="M268" i="13"/>
  <c r="M269" i="13"/>
  <c r="M270" i="13"/>
  <c r="M271" i="13"/>
  <c r="M272" i="13"/>
  <c r="M273" i="13"/>
  <c r="M274" i="13"/>
  <c r="M275" i="13"/>
  <c r="M276" i="13"/>
  <c r="M277" i="13"/>
  <c r="M278" i="13"/>
  <c r="M279" i="13"/>
  <c r="M280" i="13"/>
  <c r="M281" i="13"/>
  <c r="M282" i="13"/>
  <c r="M283" i="13"/>
  <c r="M284" i="13"/>
  <c r="M285" i="13"/>
  <c r="M286" i="13"/>
  <c r="M287" i="13"/>
  <c r="M288" i="13"/>
  <c r="M289" i="13"/>
  <c r="M290" i="13"/>
  <c r="M291" i="13"/>
  <c r="M292" i="13"/>
  <c r="M293" i="13"/>
  <c r="M294" i="13"/>
  <c r="M295" i="13"/>
  <c r="M296" i="13"/>
  <c r="M297" i="13"/>
  <c r="M298" i="13"/>
  <c r="M299" i="13"/>
  <c r="M300" i="13"/>
  <c r="M301" i="13"/>
  <c r="M302" i="13"/>
  <c r="M303" i="13"/>
  <c r="M304" i="13"/>
  <c r="M305" i="13"/>
  <c r="M306" i="13"/>
  <c r="M307" i="13"/>
  <c r="M308" i="13"/>
  <c r="M309" i="13"/>
  <c r="M310" i="13"/>
  <c r="M311" i="13"/>
  <c r="M312" i="13"/>
  <c r="M313" i="13"/>
  <c r="M314" i="13"/>
  <c r="M315" i="13"/>
  <c r="M316" i="13"/>
  <c r="M317" i="13"/>
  <c r="M318" i="13"/>
  <c r="M4" i="13"/>
  <c r="M319" i="13"/>
  <c r="M320" i="13"/>
  <c r="H312" i="13"/>
  <c r="I312" i="13" s="1"/>
  <c r="H313" i="13"/>
  <c r="I313" i="13" s="1"/>
  <c r="H314" i="13"/>
  <c r="I314" i="13" s="1"/>
  <c r="H315" i="13"/>
  <c r="I315" i="13" s="1"/>
  <c r="H316" i="13"/>
  <c r="I316" i="13" s="1"/>
  <c r="H317" i="13"/>
  <c r="I317" i="13" s="1"/>
  <c r="H318" i="13"/>
  <c r="I318" i="13" s="1"/>
  <c r="K316" i="13"/>
  <c r="K317" i="13"/>
  <c r="K318" i="13"/>
  <c r="J316" i="13"/>
  <c r="J317" i="13"/>
  <c r="J318" i="13"/>
  <c r="D24" i="12"/>
  <c r="J314" i="13"/>
  <c r="J315" i="13"/>
  <c r="J313" i="13"/>
  <c r="D23" i="12"/>
  <c r="C4" i="13"/>
  <c r="H291" i="13"/>
  <c r="I291" i="13" s="1"/>
  <c r="H292" i="13"/>
  <c r="I292" i="13" s="1"/>
  <c r="H293" i="13"/>
  <c r="I293" i="13" s="1"/>
  <c r="H294" i="13"/>
  <c r="I294" i="13" s="1"/>
  <c r="H295" i="13"/>
  <c r="I295" i="13" s="1"/>
  <c r="N4" i="13" l="1"/>
  <c r="K315" i="13"/>
  <c r="K314" i="13"/>
  <c r="H167" i="13"/>
  <c r="I167" i="13" s="1"/>
  <c r="H168" i="13"/>
  <c r="I168" i="13" s="1"/>
  <c r="H169" i="13"/>
  <c r="I169" i="13" s="1"/>
  <c r="H170" i="13"/>
  <c r="I170" i="13" s="1"/>
  <c r="H171" i="13"/>
  <c r="I171" i="13" s="1"/>
  <c r="H172" i="13"/>
  <c r="I172" i="13" s="1"/>
  <c r="H173" i="13"/>
  <c r="I173" i="13" s="1"/>
  <c r="H174" i="13"/>
  <c r="I174" i="13" s="1"/>
  <c r="H175" i="13"/>
  <c r="I175" i="13" s="1"/>
  <c r="H176" i="13"/>
  <c r="I176" i="13" s="1"/>
  <c r="H177" i="13"/>
  <c r="I177" i="13" s="1"/>
  <c r="H178" i="13"/>
  <c r="I178" i="13" s="1"/>
  <c r="H179" i="13"/>
  <c r="I179" i="13" s="1"/>
  <c r="H180" i="13"/>
  <c r="I180" i="13" s="1"/>
  <c r="H181" i="13"/>
  <c r="I181" i="13" s="1"/>
  <c r="H182" i="13"/>
  <c r="I182" i="13" s="1"/>
  <c r="H183" i="13"/>
  <c r="I183" i="13" s="1"/>
  <c r="H184" i="13"/>
  <c r="I184" i="13" s="1"/>
  <c r="H185" i="13"/>
  <c r="I185" i="13" s="1"/>
  <c r="H186" i="13"/>
  <c r="I186" i="13" s="1"/>
  <c r="H187" i="13"/>
  <c r="I187" i="13" s="1"/>
  <c r="H188" i="13"/>
  <c r="I188" i="13" s="1"/>
  <c r="H189" i="13"/>
  <c r="I189" i="13" s="1"/>
  <c r="H190" i="13"/>
  <c r="I190" i="13" s="1"/>
  <c r="H191" i="13"/>
  <c r="I191" i="13" s="1"/>
  <c r="H192" i="13"/>
  <c r="I192" i="13" s="1"/>
  <c r="H193" i="13"/>
  <c r="I193" i="13" s="1"/>
  <c r="H194" i="13"/>
  <c r="I194" i="13" s="1"/>
  <c r="H195" i="13"/>
  <c r="I195" i="13" s="1"/>
  <c r="H196" i="13"/>
  <c r="I196" i="13" s="1"/>
  <c r="H197" i="13"/>
  <c r="I197" i="13" s="1"/>
  <c r="H198" i="13"/>
  <c r="I198" i="13" s="1"/>
  <c r="H199" i="13"/>
  <c r="I199" i="13" s="1"/>
  <c r="H200" i="13"/>
  <c r="I200" i="13" s="1"/>
  <c r="H201" i="13"/>
  <c r="I201" i="13" s="1"/>
  <c r="H202" i="13"/>
  <c r="I202" i="13" s="1"/>
  <c r="H203" i="13"/>
  <c r="I203" i="13" s="1"/>
  <c r="H204" i="13"/>
  <c r="I204" i="13" s="1"/>
  <c r="H205" i="13"/>
  <c r="I205" i="13" s="1"/>
  <c r="H206" i="13"/>
  <c r="I206" i="13" s="1"/>
  <c r="H207" i="13"/>
  <c r="I207" i="13" s="1"/>
  <c r="H208" i="13"/>
  <c r="I208" i="13" s="1"/>
  <c r="H209" i="13"/>
  <c r="I209" i="13" s="1"/>
  <c r="H210" i="13"/>
  <c r="I210" i="13" s="1"/>
  <c r="H211" i="13"/>
  <c r="I211" i="13" s="1"/>
  <c r="H212" i="13"/>
  <c r="I212" i="13" s="1"/>
  <c r="H213" i="13"/>
  <c r="I213" i="13" s="1"/>
  <c r="H214" i="13"/>
  <c r="I214" i="13" s="1"/>
  <c r="H215" i="13"/>
  <c r="I215" i="13" s="1"/>
  <c r="H216" i="13"/>
  <c r="I216" i="13" s="1"/>
  <c r="H217" i="13"/>
  <c r="I217" i="13" s="1"/>
  <c r="H218" i="13"/>
  <c r="I218" i="13" s="1"/>
  <c r="H219" i="13"/>
  <c r="I219" i="13" s="1"/>
  <c r="H220" i="13"/>
  <c r="I220" i="13" s="1"/>
  <c r="H221" i="13"/>
  <c r="I221" i="13" s="1"/>
  <c r="H222" i="13"/>
  <c r="I222" i="13" s="1"/>
  <c r="H223" i="13"/>
  <c r="I223" i="13" s="1"/>
  <c r="H224" i="13"/>
  <c r="I224" i="13" s="1"/>
  <c r="H225" i="13"/>
  <c r="I225" i="13" s="1"/>
  <c r="H226" i="13"/>
  <c r="I226" i="13" s="1"/>
  <c r="H227" i="13"/>
  <c r="I227" i="13" s="1"/>
  <c r="H228" i="13"/>
  <c r="I228" i="13" s="1"/>
  <c r="H229" i="13"/>
  <c r="I229" i="13" s="1"/>
  <c r="H230" i="13"/>
  <c r="I230" i="13" s="1"/>
  <c r="H231" i="13"/>
  <c r="I231" i="13" s="1"/>
  <c r="H232" i="13"/>
  <c r="I232" i="13" s="1"/>
  <c r="H233" i="13"/>
  <c r="I233" i="13" s="1"/>
  <c r="H234" i="13"/>
  <c r="I234" i="13" s="1"/>
  <c r="H235" i="13"/>
  <c r="I235" i="13" s="1"/>
  <c r="H236" i="13"/>
  <c r="I236" i="13" s="1"/>
  <c r="H237" i="13"/>
  <c r="I237" i="13" s="1"/>
  <c r="H238" i="13"/>
  <c r="I238" i="13" s="1"/>
  <c r="H239" i="13"/>
  <c r="I239" i="13" s="1"/>
  <c r="H240" i="13"/>
  <c r="I240" i="13" s="1"/>
  <c r="H241" i="13"/>
  <c r="I241" i="13" s="1"/>
  <c r="H242" i="13"/>
  <c r="I242" i="13" s="1"/>
  <c r="H243" i="13"/>
  <c r="I243" i="13" s="1"/>
  <c r="H244" i="13"/>
  <c r="I244" i="13" s="1"/>
  <c r="H245" i="13"/>
  <c r="I245" i="13" s="1"/>
  <c r="H246" i="13"/>
  <c r="I246" i="13" s="1"/>
  <c r="H247" i="13"/>
  <c r="I247" i="13" s="1"/>
  <c r="H248" i="13"/>
  <c r="I248" i="13" s="1"/>
  <c r="H249" i="13"/>
  <c r="I249" i="13" s="1"/>
  <c r="H250" i="13"/>
  <c r="I250" i="13" s="1"/>
  <c r="H251" i="13"/>
  <c r="I251" i="13" s="1"/>
  <c r="H252" i="13"/>
  <c r="I252" i="13" s="1"/>
  <c r="H253" i="13"/>
  <c r="I253" i="13" s="1"/>
  <c r="H254" i="13"/>
  <c r="I254" i="13" s="1"/>
  <c r="H255" i="13"/>
  <c r="I255" i="13" s="1"/>
  <c r="H256" i="13"/>
  <c r="I256" i="13" s="1"/>
  <c r="H257" i="13"/>
  <c r="I257" i="13" s="1"/>
  <c r="H258" i="13"/>
  <c r="I258" i="13" s="1"/>
  <c r="H259" i="13"/>
  <c r="I259" i="13" s="1"/>
  <c r="H260" i="13"/>
  <c r="I260" i="13" s="1"/>
  <c r="H261" i="13"/>
  <c r="I261" i="13" s="1"/>
  <c r="H262" i="13"/>
  <c r="I262" i="13" s="1"/>
  <c r="H263" i="13"/>
  <c r="I263" i="13" s="1"/>
  <c r="H264" i="13"/>
  <c r="I264" i="13" s="1"/>
  <c r="H265" i="13"/>
  <c r="I265" i="13" s="1"/>
  <c r="H266" i="13"/>
  <c r="I266" i="13" s="1"/>
  <c r="H267" i="13"/>
  <c r="I267" i="13" s="1"/>
  <c r="H268" i="13"/>
  <c r="I268" i="13" s="1"/>
  <c r="H269" i="13"/>
  <c r="I269" i="13" s="1"/>
  <c r="H270" i="13"/>
  <c r="I270" i="13" s="1"/>
  <c r="H271" i="13"/>
  <c r="I271" i="13" s="1"/>
  <c r="H272" i="13"/>
  <c r="I272" i="13" s="1"/>
  <c r="H273" i="13"/>
  <c r="I273" i="13" s="1"/>
  <c r="H274" i="13"/>
  <c r="I274" i="13" s="1"/>
  <c r="H275" i="13"/>
  <c r="I275" i="13" s="1"/>
  <c r="H276" i="13"/>
  <c r="I276" i="13" s="1"/>
  <c r="H277" i="13"/>
  <c r="I277" i="13" s="1"/>
  <c r="H278" i="13"/>
  <c r="I278" i="13" s="1"/>
  <c r="H279" i="13"/>
  <c r="I279" i="13" s="1"/>
  <c r="H280" i="13"/>
  <c r="I280" i="13" s="1"/>
  <c r="H281" i="13"/>
  <c r="I281" i="13" s="1"/>
  <c r="H282" i="13"/>
  <c r="I282" i="13" s="1"/>
  <c r="H283" i="13"/>
  <c r="I283" i="13" s="1"/>
  <c r="H284" i="13"/>
  <c r="I284" i="13" s="1"/>
  <c r="H285" i="13"/>
  <c r="I285" i="13" s="1"/>
  <c r="H286" i="13"/>
  <c r="I286" i="13" s="1"/>
  <c r="H287" i="13"/>
  <c r="I287" i="13" s="1"/>
  <c r="H288" i="13"/>
  <c r="I288" i="13" s="1"/>
  <c r="H289" i="13"/>
  <c r="I289" i="13" s="1"/>
  <c r="H290" i="13"/>
  <c r="I290" i="13" s="1"/>
  <c r="H296" i="13"/>
  <c r="I296" i="13" s="1"/>
  <c r="H297" i="13"/>
  <c r="I297" i="13" s="1"/>
  <c r="H298" i="13"/>
  <c r="I298" i="13" s="1"/>
  <c r="H299" i="13"/>
  <c r="I299" i="13" s="1"/>
  <c r="H300" i="13"/>
  <c r="I300" i="13" s="1"/>
  <c r="H301" i="13"/>
  <c r="I301" i="13" s="1"/>
  <c r="H302" i="13"/>
  <c r="I302" i="13" s="1"/>
  <c r="H303" i="13"/>
  <c r="I303" i="13" s="1"/>
  <c r="H304" i="13"/>
  <c r="I304" i="13" s="1"/>
  <c r="H305" i="13"/>
  <c r="I305" i="13" s="1"/>
  <c r="H306" i="13"/>
  <c r="I306" i="13" s="1"/>
  <c r="H307" i="13"/>
  <c r="I307" i="13" s="1"/>
  <c r="H308" i="13"/>
  <c r="I308" i="13" s="1"/>
  <c r="H309" i="13"/>
  <c r="I309" i="13" s="1"/>
  <c r="H310" i="13"/>
  <c r="I310" i="13" s="1"/>
  <c r="H311" i="13"/>
  <c r="I311" i="13" s="1"/>
  <c r="H5" i="13"/>
  <c r="I5" i="13" s="1"/>
  <c r="H6" i="13"/>
  <c r="I6" i="13" s="1"/>
  <c r="H7" i="13"/>
  <c r="I7" i="13" s="1"/>
  <c r="H8" i="13"/>
  <c r="I8" i="13" s="1"/>
  <c r="H9" i="13"/>
  <c r="I9" i="13" s="1"/>
  <c r="H10" i="13"/>
  <c r="I10" i="13" s="1"/>
  <c r="H11" i="13"/>
  <c r="I11" i="13" s="1"/>
  <c r="H12" i="13"/>
  <c r="I12" i="13" s="1"/>
  <c r="H13" i="13"/>
  <c r="I13" i="13" s="1"/>
  <c r="H14" i="13"/>
  <c r="I14" i="13" s="1"/>
  <c r="H15" i="13"/>
  <c r="I15" i="13" s="1"/>
  <c r="H16" i="13"/>
  <c r="I16" i="13" s="1"/>
  <c r="H17" i="13"/>
  <c r="I17" i="13" s="1"/>
  <c r="H18" i="13"/>
  <c r="I18" i="13" s="1"/>
  <c r="H19" i="13"/>
  <c r="I19" i="13" s="1"/>
  <c r="H20" i="13"/>
  <c r="I20" i="13" s="1"/>
  <c r="H21" i="13"/>
  <c r="I21" i="13" s="1"/>
  <c r="H22" i="13"/>
  <c r="I22" i="13" s="1"/>
  <c r="H23" i="13"/>
  <c r="I23" i="13" s="1"/>
  <c r="H24" i="13"/>
  <c r="I24" i="13" s="1"/>
  <c r="H25" i="13"/>
  <c r="I25" i="13" s="1"/>
  <c r="H26" i="13"/>
  <c r="I26" i="13" s="1"/>
  <c r="H27" i="13"/>
  <c r="I27" i="13" s="1"/>
  <c r="H28" i="13"/>
  <c r="I28" i="13" s="1"/>
  <c r="H29" i="13"/>
  <c r="I29" i="13" s="1"/>
  <c r="H30" i="13"/>
  <c r="I30" i="13" s="1"/>
  <c r="H31" i="13"/>
  <c r="I31" i="13" s="1"/>
  <c r="H32" i="13"/>
  <c r="I32" i="13" s="1"/>
  <c r="H33" i="13"/>
  <c r="I33" i="13" s="1"/>
  <c r="H34" i="13"/>
  <c r="I34" i="13" s="1"/>
  <c r="H35" i="13"/>
  <c r="I35" i="13" s="1"/>
  <c r="H36" i="13"/>
  <c r="I36" i="13" s="1"/>
  <c r="H37" i="13"/>
  <c r="I37" i="13" s="1"/>
  <c r="H38" i="13"/>
  <c r="I38" i="13" s="1"/>
  <c r="H39" i="13"/>
  <c r="I39" i="13" s="1"/>
  <c r="H40" i="13"/>
  <c r="I40" i="13" s="1"/>
  <c r="H41" i="13"/>
  <c r="I41" i="13" s="1"/>
  <c r="H42" i="13"/>
  <c r="I42" i="13" s="1"/>
  <c r="H43" i="13"/>
  <c r="I43" i="13" s="1"/>
  <c r="H44" i="13"/>
  <c r="I44" i="13" s="1"/>
  <c r="H45" i="13"/>
  <c r="I45" i="13" s="1"/>
  <c r="H46" i="13"/>
  <c r="I46" i="13" s="1"/>
  <c r="H47" i="13"/>
  <c r="I47" i="13" s="1"/>
  <c r="H48" i="13"/>
  <c r="I48" i="13" s="1"/>
  <c r="H49" i="13"/>
  <c r="I49" i="13" s="1"/>
  <c r="H50" i="13"/>
  <c r="I50" i="13" s="1"/>
  <c r="H51" i="13"/>
  <c r="I51" i="13" s="1"/>
  <c r="H52" i="13"/>
  <c r="I52" i="13" s="1"/>
  <c r="H53" i="13"/>
  <c r="I53" i="13" s="1"/>
  <c r="H54" i="13"/>
  <c r="I54" i="13" s="1"/>
  <c r="H55" i="13"/>
  <c r="I55" i="13" s="1"/>
  <c r="H56" i="13"/>
  <c r="I56" i="13" s="1"/>
  <c r="H57" i="13"/>
  <c r="I57" i="13" s="1"/>
  <c r="H58" i="13"/>
  <c r="I58" i="13" s="1"/>
  <c r="H59" i="13"/>
  <c r="I59" i="13" s="1"/>
  <c r="H60" i="13"/>
  <c r="I60" i="13" s="1"/>
  <c r="H61" i="13"/>
  <c r="I61" i="13" s="1"/>
  <c r="H62" i="13"/>
  <c r="I62" i="13" s="1"/>
  <c r="H63" i="13"/>
  <c r="I63" i="13" s="1"/>
  <c r="H64" i="13"/>
  <c r="I64" i="13" s="1"/>
  <c r="H65" i="13"/>
  <c r="I65" i="13" s="1"/>
  <c r="H66" i="13"/>
  <c r="I66" i="13" s="1"/>
  <c r="H67" i="13"/>
  <c r="I67" i="13" s="1"/>
  <c r="H68" i="13"/>
  <c r="I68" i="13" s="1"/>
  <c r="H69" i="13"/>
  <c r="I69" i="13" s="1"/>
  <c r="H70" i="13"/>
  <c r="I70" i="13" s="1"/>
  <c r="H71" i="13"/>
  <c r="I71" i="13" s="1"/>
  <c r="H72" i="13"/>
  <c r="I72" i="13" s="1"/>
  <c r="H73" i="13"/>
  <c r="I73" i="13" s="1"/>
  <c r="H74" i="13"/>
  <c r="I74" i="13" s="1"/>
  <c r="H75" i="13"/>
  <c r="I75" i="13" s="1"/>
  <c r="H76" i="13"/>
  <c r="I76" i="13" s="1"/>
  <c r="H77" i="13"/>
  <c r="I77" i="13" s="1"/>
  <c r="H78" i="13"/>
  <c r="I78" i="13" s="1"/>
  <c r="H79" i="13"/>
  <c r="I79" i="13" s="1"/>
  <c r="H80" i="13"/>
  <c r="I80" i="13" s="1"/>
  <c r="H81" i="13"/>
  <c r="I81" i="13" s="1"/>
  <c r="H82" i="13"/>
  <c r="I82" i="13" s="1"/>
  <c r="H83" i="13"/>
  <c r="I83" i="13" s="1"/>
  <c r="H84" i="13"/>
  <c r="I84" i="13" s="1"/>
  <c r="H85" i="13"/>
  <c r="I85" i="13" s="1"/>
  <c r="H86" i="13"/>
  <c r="I86" i="13" s="1"/>
  <c r="H87" i="13"/>
  <c r="I87" i="13" s="1"/>
  <c r="H88" i="13"/>
  <c r="I88" i="13" s="1"/>
  <c r="H89" i="13"/>
  <c r="I89" i="13" s="1"/>
  <c r="H90" i="13"/>
  <c r="I90" i="13" s="1"/>
  <c r="H91" i="13"/>
  <c r="I91" i="13" s="1"/>
  <c r="H92" i="13"/>
  <c r="I92" i="13" s="1"/>
  <c r="H93" i="13"/>
  <c r="I93" i="13" s="1"/>
  <c r="H94" i="13"/>
  <c r="I94" i="13" s="1"/>
  <c r="H95" i="13"/>
  <c r="I95" i="13" s="1"/>
  <c r="H96" i="13"/>
  <c r="I96" i="13" s="1"/>
  <c r="H97" i="13"/>
  <c r="I97" i="13" s="1"/>
  <c r="H98" i="13"/>
  <c r="I98" i="13" s="1"/>
  <c r="H99" i="13"/>
  <c r="I99" i="13" s="1"/>
  <c r="H100" i="13"/>
  <c r="I100" i="13" s="1"/>
  <c r="H101" i="13"/>
  <c r="I101" i="13" s="1"/>
  <c r="H102" i="13"/>
  <c r="I102" i="13" s="1"/>
  <c r="H103" i="13"/>
  <c r="I103" i="13" s="1"/>
  <c r="H104" i="13"/>
  <c r="I104" i="13" s="1"/>
  <c r="H105" i="13"/>
  <c r="I105" i="13" s="1"/>
  <c r="H106" i="13"/>
  <c r="I106" i="13" s="1"/>
  <c r="H107" i="13"/>
  <c r="I107" i="13" s="1"/>
  <c r="H108" i="13"/>
  <c r="I108" i="13" s="1"/>
  <c r="H109" i="13"/>
  <c r="I109" i="13" s="1"/>
  <c r="H110" i="13"/>
  <c r="I110" i="13" s="1"/>
  <c r="H111" i="13"/>
  <c r="I111" i="13" s="1"/>
  <c r="H112" i="13"/>
  <c r="I112" i="13" s="1"/>
  <c r="H113" i="13"/>
  <c r="I113" i="13" s="1"/>
  <c r="H114" i="13"/>
  <c r="I114" i="13" s="1"/>
  <c r="H115" i="13"/>
  <c r="I115" i="13" s="1"/>
  <c r="H116" i="13"/>
  <c r="I116" i="13" s="1"/>
  <c r="H117" i="13"/>
  <c r="I117" i="13" s="1"/>
  <c r="H118" i="13"/>
  <c r="I118" i="13" s="1"/>
  <c r="H119" i="13"/>
  <c r="I119" i="13" s="1"/>
  <c r="H120" i="13"/>
  <c r="I120" i="13" s="1"/>
  <c r="H121" i="13"/>
  <c r="I121" i="13" s="1"/>
  <c r="H122" i="13"/>
  <c r="I122" i="13" s="1"/>
  <c r="H123" i="13"/>
  <c r="I123" i="13" s="1"/>
  <c r="H124" i="13"/>
  <c r="I124" i="13" s="1"/>
  <c r="H125" i="13"/>
  <c r="I125" i="13" s="1"/>
  <c r="H126" i="13"/>
  <c r="I126" i="13" s="1"/>
  <c r="H127" i="13"/>
  <c r="I127" i="13" s="1"/>
  <c r="H128" i="13"/>
  <c r="I128" i="13" s="1"/>
  <c r="H129" i="13"/>
  <c r="I129" i="13" s="1"/>
  <c r="H130" i="13"/>
  <c r="I130" i="13" s="1"/>
  <c r="H131" i="13"/>
  <c r="I131" i="13" s="1"/>
  <c r="H132" i="13"/>
  <c r="I132" i="13" s="1"/>
  <c r="H133" i="13"/>
  <c r="I133" i="13" s="1"/>
  <c r="H134" i="13"/>
  <c r="I134" i="13" s="1"/>
  <c r="H135" i="13"/>
  <c r="I135" i="13" s="1"/>
  <c r="H136" i="13"/>
  <c r="I136" i="13" s="1"/>
  <c r="H137" i="13"/>
  <c r="I137" i="13" s="1"/>
  <c r="H138" i="13"/>
  <c r="I138" i="13" s="1"/>
  <c r="H139" i="13"/>
  <c r="I139" i="13" s="1"/>
  <c r="H140" i="13"/>
  <c r="I140" i="13" s="1"/>
  <c r="H141" i="13"/>
  <c r="I141" i="13" s="1"/>
  <c r="H142" i="13"/>
  <c r="I142" i="13" s="1"/>
  <c r="H143" i="13"/>
  <c r="I143" i="13" s="1"/>
  <c r="H144" i="13"/>
  <c r="I144" i="13" s="1"/>
  <c r="H145" i="13"/>
  <c r="I145" i="13" s="1"/>
  <c r="H146" i="13"/>
  <c r="I146" i="13" s="1"/>
  <c r="H147" i="13"/>
  <c r="I147" i="13" s="1"/>
  <c r="H148" i="13"/>
  <c r="I148" i="13" s="1"/>
  <c r="H149" i="13"/>
  <c r="I149" i="13" s="1"/>
  <c r="H150" i="13"/>
  <c r="I150" i="13" s="1"/>
  <c r="H151" i="13"/>
  <c r="I151" i="13" s="1"/>
  <c r="H152" i="13"/>
  <c r="I152" i="13" s="1"/>
  <c r="H153" i="13"/>
  <c r="I153" i="13" s="1"/>
  <c r="H154" i="13"/>
  <c r="I154" i="13" s="1"/>
  <c r="H155" i="13"/>
  <c r="I155" i="13" s="1"/>
  <c r="H156" i="13"/>
  <c r="I156" i="13" s="1"/>
  <c r="H157" i="13"/>
  <c r="I157" i="13" s="1"/>
  <c r="H158" i="13"/>
  <c r="I158" i="13" s="1"/>
  <c r="H159" i="13"/>
  <c r="I159" i="13" s="1"/>
  <c r="H160" i="13"/>
  <c r="I160" i="13" s="1"/>
  <c r="H161" i="13"/>
  <c r="I161" i="13" s="1"/>
  <c r="H162" i="13"/>
  <c r="I162" i="13" s="1"/>
  <c r="H163" i="13"/>
  <c r="I163" i="13" s="1"/>
  <c r="H164" i="13"/>
  <c r="I164" i="13" s="1"/>
  <c r="H165" i="13"/>
  <c r="I165" i="13" s="1"/>
  <c r="H166" i="13"/>
  <c r="I166" i="13" s="1"/>
  <c r="H4" i="13"/>
  <c r="I4" i="13" s="1"/>
  <c r="D3" i="12"/>
  <c r="J46" i="13" s="1"/>
  <c r="D4" i="12"/>
  <c r="J90" i="13" s="1"/>
  <c r="K90" i="13" s="1"/>
  <c r="D5" i="12"/>
  <c r="J292" i="13" s="1"/>
  <c r="D6" i="12"/>
  <c r="J20" i="13" s="1"/>
  <c r="D7" i="12"/>
  <c r="J294" i="13" s="1"/>
  <c r="D8" i="12"/>
  <c r="J149" i="13" s="1"/>
  <c r="D9" i="12"/>
  <c r="J21" i="13" s="1"/>
  <c r="K21" i="13" s="1"/>
  <c r="D10" i="12"/>
  <c r="J282" i="13" s="1"/>
  <c r="K282" i="13" s="1"/>
  <c r="D11" i="12"/>
  <c r="J77" i="13" s="1"/>
  <c r="K77" i="13" s="1"/>
  <c r="D12" i="12"/>
  <c r="J41" i="13" s="1"/>
  <c r="K41" i="13" s="1"/>
  <c r="D13" i="12"/>
  <c r="J152" i="13" s="1"/>
  <c r="D14" i="12"/>
  <c r="J31" i="13" s="1"/>
  <c r="D15" i="12"/>
  <c r="J32" i="13" s="1"/>
  <c r="K32" i="13" s="1"/>
  <c r="D16" i="12"/>
  <c r="J124" i="13" s="1"/>
  <c r="K124" i="13" s="1"/>
  <c r="D17" i="12"/>
  <c r="J122" i="13" s="1"/>
  <c r="D18" i="12"/>
  <c r="J80" i="13" s="1"/>
  <c r="K80" i="13" s="1"/>
  <c r="D19" i="12"/>
  <c r="J259" i="13" s="1"/>
  <c r="K259" i="13" s="1"/>
  <c r="D20" i="12"/>
  <c r="D21" i="12"/>
  <c r="D22" i="12"/>
  <c r="J295" i="13" s="1"/>
  <c r="K295" i="13" s="1"/>
  <c r="J172" i="13"/>
  <c r="K172" i="13" s="1"/>
  <c r="J29" i="13"/>
  <c r="K29" i="13" s="1"/>
  <c r="J14" i="13"/>
  <c r="D2" i="12"/>
  <c r="J312" i="13" s="1"/>
  <c r="K312" i="13" s="1"/>
  <c r="D85" i="7"/>
  <c r="D84" i="7"/>
  <c r="B84" i="7"/>
  <c r="D83" i="7"/>
  <c r="B83" i="7"/>
  <c r="D82" i="7"/>
  <c r="C82" i="7"/>
  <c r="B82" i="7"/>
  <c r="D81" i="7"/>
  <c r="C81" i="7"/>
  <c r="B81" i="7"/>
  <c r="D80" i="7"/>
  <c r="C80" i="7"/>
  <c r="D75" i="7"/>
  <c r="D74" i="7"/>
  <c r="C74" i="7"/>
  <c r="B74" i="7"/>
  <c r="D73" i="7"/>
  <c r="C73" i="7"/>
  <c r="B73" i="7"/>
  <c r="D72" i="7"/>
  <c r="C72" i="7"/>
  <c r="D71" i="7"/>
  <c r="C71" i="7"/>
  <c r="B55" i="7"/>
  <c r="B54" i="7"/>
  <c r="B53" i="7"/>
  <c r="B52" i="7"/>
  <c r="B51" i="7"/>
  <c r="B34" i="7"/>
  <c r="B33" i="7"/>
  <c r="B32" i="7"/>
  <c r="B31" i="7"/>
  <c r="B14" i="7"/>
  <c r="B13" i="7"/>
  <c r="B12" i="7"/>
  <c r="D7" i="7"/>
  <c r="D6" i="7"/>
  <c r="D5" i="7"/>
  <c r="F4" i="7"/>
  <c r="E4" i="7"/>
  <c r="D4" i="7"/>
  <c r="C4" i="7"/>
  <c r="B4" i="7"/>
  <c r="A4" i="7"/>
  <c r="U136" i="6"/>
  <c r="J136" i="6"/>
  <c r="H136" i="6"/>
  <c r="U135" i="6"/>
  <c r="J135" i="6"/>
  <c r="H135" i="6"/>
  <c r="U134" i="6"/>
  <c r="J134" i="6"/>
  <c r="H134" i="6"/>
  <c r="U133" i="6"/>
  <c r="J133" i="6"/>
  <c r="H133" i="6"/>
  <c r="U132" i="6"/>
  <c r="J132" i="6"/>
  <c r="H132" i="6"/>
  <c r="U131" i="6"/>
  <c r="J131" i="6"/>
  <c r="H131" i="6"/>
  <c r="U130" i="6"/>
  <c r="J130" i="6"/>
  <c r="H130" i="6"/>
  <c r="U129" i="6"/>
  <c r="J129" i="6"/>
  <c r="H129" i="6"/>
  <c r="U128" i="6"/>
  <c r="J128" i="6"/>
  <c r="H128" i="6"/>
  <c r="U127" i="6"/>
  <c r="J127" i="6"/>
  <c r="H127" i="6"/>
  <c r="U126" i="6"/>
  <c r="J126" i="6"/>
  <c r="H126" i="6"/>
  <c r="U125" i="6"/>
  <c r="J125" i="6"/>
  <c r="H125" i="6"/>
  <c r="U124" i="6"/>
  <c r="J124" i="6"/>
  <c r="H124" i="6"/>
  <c r="U123" i="6"/>
  <c r="J123" i="6"/>
  <c r="H123" i="6"/>
  <c r="B123" i="6"/>
  <c r="U122" i="6"/>
  <c r="J122" i="6"/>
  <c r="H122" i="6"/>
  <c r="B122" i="6"/>
  <c r="U121" i="6"/>
  <c r="J121" i="6"/>
  <c r="H121" i="6"/>
  <c r="B121" i="6"/>
  <c r="U120" i="6"/>
  <c r="J120" i="6"/>
  <c r="H120" i="6"/>
  <c r="B120" i="6"/>
  <c r="U119" i="6"/>
  <c r="J119" i="6"/>
  <c r="H119" i="6"/>
  <c r="B119" i="6"/>
  <c r="U118" i="6"/>
  <c r="J118" i="6"/>
  <c r="H118" i="6"/>
  <c r="B118" i="6"/>
  <c r="U117" i="6"/>
  <c r="J117" i="6"/>
  <c r="H117" i="6"/>
  <c r="B117" i="6"/>
  <c r="U116" i="6"/>
  <c r="J116" i="6"/>
  <c r="H116" i="6"/>
  <c r="B116" i="6"/>
  <c r="U115" i="6"/>
  <c r="J115" i="6"/>
  <c r="H115" i="6"/>
  <c r="B115" i="6"/>
  <c r="U114" i="6"/>
  <c r="J114" i="6"/>
  <c r="H114" i="6"/>
  <c r="B114" i="6"/>
  <c r="U113" i="6"/>
  <c r="J113" i="6"/>
  <c r="H113" i="6"/>
  <c r="B113" i="6"/>
  <c r="U112" i="6"/>
  <c r="J112" i="6"/>
  <c r="H112" i="6"/>
  <c r="B112" i="6"/>
  <c r="U111" i="6"/>
  <c r="J111" i="6"/>
  <c r="H111" i="6"/>
  <c r="B111" i="6"/>
  <c r="U110" i="6"/>
  <c r="J110" i="6"/>
  <c r="H110" i="6"/>
  <c r="B110" i="6"/>
  <c r="U109" i="6"/>
  <c r="J109" i="6"/>
  <c r="H109" i="6"/>
  <c r="B109" i="6"/>
  <c r="U108" i="6"/>
  <c r="J108" i="6"/>
  <c r="H108" i="6"/>
  <c r="B108" i="6"/>
  <c r="U107" i="6"/>
  <c r="J107" i="6"/>
  <c r="H107" i="6"/>
  <c r="B107" i="6"/>
  <c r="U106" i="6"/>
  <c r="J106" i="6"/>
  <c r="H106" i="6"/>
  <c r="B106" i="6"/>
  <c r="U105" i="6"/>
  <c r="J105" i="6"/>
  <c r="H105" i="6"/>
  <c r="B105" i="6"/>
  <c r="U104" i="6"/>
  <c r="J104" i="6"/>
  <c r="H104" i="6"/>
  <c r="B104" i="6"/>
  <c r="U103" i="6"/>
  <c r="J103" i="6"/>
  <c r="H103" i="6"/>
  <c r="B103" i="6"/>
  <c r="U102" i="6"/>
  <c r="J102" i="6"/>
  <c r="H102" i="6"/>
  <c r="B102" i="6"/>
  <c r="U101" i="6"/>
  <c r="J101" i="6"/>
  <c r="H101" i="6"/>
  <c r="B101" i="6"/>
  <c r="U100" i="6"/>
  <c r="J100" i="6"/>
  <c r="H100" i="6"/>
  <c r="B100" i="6"/>
  <c r="U99" i="6"/>
  <c r="J99" i="6"/>
  <c r="H99" i="6"/>
  <c r="B99" i="6"/>
  <c r="U98" i="6"/>
  <c r="J98" i="6"/>
  <c r="H98" i="6"/>
  <c r="B98" i="6"/>
  <c r="U97" i="6"/>
  <c r="J97" i="6"/>
  <c r="H97" i="6"/>
  <c r="B97" i="6"/>
  <c r="U96" i="6"/>
  <c r="J96" i="6"/>
  <c r="H96" i="6"/>
  <c r="B96" i="6"/>
  <c r="U95" i="6"/>
  <c r="J95" i="6"/>
  <c r="H95" i="6"/>
  <c r="B95" i="6"/>
  <c r="U94" i="6"/>
  <c r="J94" i="6"/>
  <c r="H94" i="6"/>
  <c r="B94" i="6"/>
  <c r="U93" i="6"/>
  <c r="J93" i="6"/>
  <c r="H93" i="6"/>
  <c r="B93" i="6"/>
  <c r="U92" i="6"/>
  <c r="J92" i="6"/>
  <c r="H92" i="6"/>
  <c r="B92" i="6"/>
  <c r="U91" i="6"/>
  <c r="J91" i="6"/>
  <c r="H91" i="6"/>
  <c r="B91" i="6"/>
  <c r="U90" i="6"/>
  <c r="J90" i="6"/>
  <c r="H90" i="6"/>
  <c r="B90" i="6"/>
  <c r="U89" i="6"/>
  <c r="J89" i="6"/>
  <c r="H89" i="6"/>
  <c r="B89" i="6"/>
  <c r="U88" i="6"/>
  <c r="J88" i="6"/>
  <c r="H88" i="6"/>
  <c r="B88" i="6"/>
  <c r="U87" i="6"/>
  <c r="J87" i="6"/>
  <c r="H87" i="6"/>
  <c r="B87" i="6"/>
  <c r="U86" i="6"/>
  <c r="J86" i="6"/>
  <c r="H86" i="6"/>
  <c r="B86" i="6"/>
  <c r="U85" i="6"/>
  <c r="J85" i="6"/>
  <c r="H85" i="6"/>
  <c r="B85" i="6"/>
  <c r="U84" i="6"/>
  <c r="J84" i="6"/>
  <c r="H84" i="6"/>
  <c r="B84" i="6"/>
  <c r="U83" i="6"/>
  <c r="J83" i="6"/>
  <c r="H83" i="6"/>
  <c r="B83" i="6"/>
  <c r="U82" i="6"/>
  <c r="J82" i="6"/>
  <c r="H82" i="6"/>
  <c r="B82" i="6"/>
  <c r="U81" i="6"/>
  <c r="J81" i="6"/>
  <c r="H81" i="6"/>
  <c r="B81" i="6"/>
  <c r="U80" i="6"/>
  <c r="J80" i="6"/>
  <c r="H80" i="6"/>
  <c r="B80" i="6"/>
  <c r="U79" i="6"/>
  <c r="J79" i="6"/>
  <c r="H79" i="6"/>
  <c r="B79" i="6"/>
  <c r="U78" i="6"/>
  <c r="J78" i="6"/>
  <c r="H78" i="6"/>
  <c r="B78" i="6"/>
  <c r="U77" i="6"/>
  <c r="J77" i="6"/>
  <c r="H77" i="6"/>
  <c r="B77" i="6"/>
  <c r="U76" i="6"/>
  <c r="J76" i="6"/>
  <c r="H76" i="6"/>
  <c r="B76" i="6"/>
  <c r="U75" i="6"/>
  <c r="J75" i="6"/>
  <c r="H75" i="6"/>
  <c r="B75" i="6"/>
  <c r="U74" i="6"/>
  <c r="J74" i="6"/>
  <c r="H74" i="6"/>
  <c r="B74" i="6"/>
  <c r="U73" i="6"/>
  <c r="J73" i="6"/>
  <c r="H73" i="6"/>
  <c r="B73" i="6"/>
  <c r="U72" i="6"/>
  <c r="J72" i="6"/>
  <c r="H72" i="6"/>
  <c r="B72" i="6"/>
  <c r="U71" i="6"/>
  <c r="J71" i="6"/>
  <c r="H71" i="6"/>
  <c r="B71" i="6"/>
  <c r="U70" i="6"/>
  <c r="J70" i="6"/>
  <c r="H70" i="6"/>
  <c r="B70" i="6"/>
  <c r="U69" i="6"/>
  <c r="J69" i="6"/>
  <c r="H69" i="6"/>
  <c r="B69" i="6"/>
  <c r="U68" i="6"/>
  <c r="J68" i="6"/>
  <c r="H68" i="6"/>
  <c r="B68" i="6"/>
  <c r="U67" i="6"/>
  <c r="J67" i="6"/>
  <c r="H67" i="6"/>
  <c r="B67" i="6"/>
  <c r="U66" i="6"/>
  <c r="J66" i="6"/>
  <c r="H66" i="6"/>
  <c r="B66" i="6"/>
  <c r="U65" i="6"/>
  <c r="J65" i="6"/>
  <c r="H65" i="6"/>
  <c r="B65" i="6"/>
  <c r="U64" i="6"/>
  <c r="J64" i="6"/>
  <c r="H64" i="6"/>
  <c r="B64" i="6"/>
  <c r="U63" i="6"/>
  <c r="J63" i="6"/>
  <c r="H63" i="6"/>
  <c r="B63" i="6"/>
  <c r="U62" i="6"/>
  <c r="J62" i="6"/>
  <c r="H62" i="6"/>
  <c r="B62" i="6"/>
  <c r="U61" i="6"/>
  <c r="J61" i="6"/>
  <c r="H61" i="6"/>
  <c r="B61" i="6"/>
  <c r="U60" i="6"/>
  <c r="J60" i="6"/>
  <c r="H60" i="6"/>
  <c r="B60" i="6"/>
  <c r="U59" i="6"/>
  <c r="J59" i="6"/>
  <c r="H59" i="6"/>
  <c r="B59" i="6"/>
  <c r="U58" i="6"/>
  <c r="J58" i="6"/>
  <c r="H58" i="6"/>
  <c r="B58" i="6"/>
  <c r="U57" i="6"/>
  <c r="J57" i="6"/>
  <c r="H57" i="6"/>
  <c r="B57" i="6"/>
  <c r="U56" i="6"/>
  <c r="J56" i="6"/>
  <c r="H56" i="6"/>
  <c r="B56" i="6"/>
  <c r="U55" i="6"/>
  <c r="J55" i="6"/>
  <c r="H55" i="6"/>
  <c r="B55" i="6"/>
  <c r="U54" i="6"/>
  <c r="J54" i="6"/>
  <c r="H54" i="6"/>
  <c r="B54" i="6"/>
  <c r="U53" i="6"/>
  <c r="J53" i="6"/>
  <c r="H53" i="6"/>
  <c r="B53" i="6"/>
  <c r="U52" i="6"/>
  <c r="J52" i="6"/>
  <c r="H52" i="6"/>
  <c r="B52" i="6"/>
  <c r="U51" i="6"/>
  <c r="J51" i="6"/>
  <c r="H51" i="6"/>
  <c r="B51" i="6"/>
  <c r="U50" i="6"/>
  <c r="J50" i="6"/>
  <c r="H50" i="6"/>
  <c r="B50" i="6"/>
  <c r="U49" i="6"/>
  <c r="J49" i="6"/>
  <c r="H49" i="6"/>
  <c r="B49" i="6"/>
  <c r="U48" i="6"/>
  <c r="J48" i="6"/>
  <c r="H48" i="6"/>
  <c r="B48" i="6"/>
  <c r="U47" i="6"/>
  <c r="J47" i="6"/>
  <c r="H47" i="6"/>
  <c r="B47" i="6"/>
  <c r="U46" i="6"/>
  <c r="J46" i="6"/>
  <c r="H46" i="6"/>
  <c r="B46" i="6"/>
  <c r="U45" i="6"/>
  <c r="J45" i="6"/>
  <c r="H45" i="6"/>
  <c r="B45" i="6"/>
  <c r="U44" i="6"/>
  <c r="J44" i="6"/>
  <c r="H44" i="6"/>
  <c r="B44" i="6"/>
  <c r="U43" i="6"/>
  <c r="J43" i="6"/>
  <c r="H43" i="6"/>
  <c r="B43" i="6"/>
  <c r="U42" i="6"/>
  <c r="J42" i="6"/>
  <c r="H42" i="6"/>
  <c r="B42" i="6"/>
  <c r="U41" i="6"/>
  <c r="J41" i="6"/>
  <c r="H41" i="6"/>
  <c r="B41" i="6"/>
  <c r="U40" i="6"/>
  <c r="J40" i="6"/>
  <c r="H40" i="6"/>
  <c r="B40" i="6"/>
  <c r="U39" i="6"/>
  <c r="J39" i="6"/>
  <c r="H39" i="6"/>
  <c r="B39" i="6"/>
  <c r="U38" i="6"/>
  <c r="J38" i="6"/>
  <c r="H38" i="6"/>
  <c r="B38" i="6"/>
  <c r="U37" i="6"/>
  <c r="J37" i="6"/>
  <c r="H37" i="6"/>
  <c r="B37" i="6"/>
  <c r="U36" i="6"/>
  <c r="J36" i="6"/>
  <c r="H36" i="6"/>
  <c r="B36" i="6"/>
  <c r="U35" i="6"/>
  <c r="J35" i="6"/>
  <c r="H35" i="6"/>
  <c r="B35" i="6"/>
  <c r="U34" i="6"/>
  <c r="J34" i="6"/>
  <c r="H34" i="6"/>
  <c r="B34" i="6"/>
  <c r="U33" i="6"/>
  <c r="J33" i="6"/>
  <c r="H33" i="6"/>
  <c r="B33" i="6"/>
  <c r="U32" i="6"/>
  <c r="J32" i="6"/>
  <c r="H32" i="6"/>
  <c r="B32" i="6"/>
  <c r="U31" i="6"/>
  <c r="J31" i="6"/>
  <c r="H31" i="6"/>
  <c r="B31" i="6"/>
  <c r="U30" i="6"/>
  <c r="J30" i="6"/>
  <c r="H30" i="6"/>
  <c r="B30" i="6"/>
  <c r="U29" i="6"/>
  <c r="J29" i="6"/>
  <c r="H29" i="6"/>
  <c r="B29" i="6"/>
  <c r="U28" i="6"/>
  <c r="J28" i="6"/>
  <c r="H28" i="6"/>
  <c r="B28" i="6"/>
  <c r="U27" i="6"/>
  <c r="J27" i="6"/>
  <c r="H27" i="6"/>
  <c r="B27" i="6"/>
  <c r="U26" i="6"/>
  <c r="J26" i="6"/>
  <c r="H26" i="6"/>
  <c r="B26" i="6"/>
  <c r="U25" i="6"/>
  <c r="J25" i="6"/>
  <c r="H25" i="6"/>
  <c r="B25" i="6"/>
  <c r="U24" i="6"/>
  <c r="J24" i="6"/>
  <c r="H24" i="6"/>
  <c r="B24" i="6"/>
  <c r="U23" i="6"/>
  <c r="J23" i="6"/>
  <c r="H23" i="6"/>
  <c r="B23" i="6"/>
  <c r="U22" i="6"/>
  <c r="J22" i="6"/>
  <c r="H22" i="6"/>
  <c r="B22" i="6"/>
  <c r="U21" i="6"/>
  <c r="J21" i="6"/>
  <c r="H21" i="6"/>
  <c r="B21" i="6"/>
  <c r="U20" i="6"/>
  <c r="J20" i="6"/>
  <c r="H20" i="6"/>
  <c r="B20" i="6"/>
  <c r="U19" i="6"/>
  <c r="J19" i="6"/>
  <c r="H19" i="6"/>
  <c r="B19" i="6"/>
  <c r="U18" i="6"/>
  <c r="J18" i="6"/>
  <c r="H18" i="6"/>
  <c r="B18" i="6"/>
  <c r="U17" i="6"/>
  <c r="J17" i="6"/>
  <c r="H17" i="6"/>
  <c r="B17" i="6"/>
  <c r="U16" i="6"/>
  <c r="J16" i="6"/>
  <c r="H16" i="6"/>
  <c r="B16" i="6"/>
  <c r="U15" i="6"/>
  <c r="J15" i="6"/>
  <c r="H15" i="6"/>
  <c r="B15" i="6"/>
  <c r="U14" i="6"/>
  <c r="J14" i="6"/>
  <c r="H14" i="6"/>
  <c r="B14" i="6"/>
  <c r="U13" i="6"/>
  <c r="J13" i="6"/>
  <c r="H13" i="6"/>
  <c r="B13" i="6"/>
  <c r="U12" i="6"/>
  <c r="J12" i="6"/>
  <c r="H12" i="6"/>
  <c r="B12" i="6"/>
  <c r="U11" i="6"/>
  <c r="J11" i="6"/>
  <c r="H11" i="6"/>
  <c r="B11" i="6"/>
  <c r="U10" i="6"/>
  <c r="J10" i="6"/>
  <c r="H10" i="6"/>
  <c r="B10" i="6"/>
  <c r="U9" i="6"/>
  <c r="J9" i="6"/>
  <c r="H9" i="6"/>
  <c r="B9" i="6"/>
  <c r="U8" i="6"/>
  <c r="J8" i="6"/>
  <c r="H8" i="6"/>
  <c r="B8" i="6"/>
  <c r="U7" i="6"/>
  <c r="J7" i="6"/>
  <c r="H7" i="6"/>
  <c r="B7" i="6"/>
  <c r="U6" i="6"/>
  <c r="J6" i="6"/>
  <c r="H6" i="6"/>
  <c r="B6" i="6"/>
  <c r="U5" i="6"/>
  <c r="J5" i="6"/>
  <c r="H5" i="6"/>
  <c r="B5" i="6"/>
  <c r="U4" i="6"/>
  <c r="J4" i="6"/>
  <c r="H4" i="6"/>
  <c r="B4" i="6"/>
  <c r="U3" i="6"/>
  <c r="J3" i="6"/>
  <c r="H3" i="6"/>
  <c r="B3" i="6"/>
  <c r="U2" i="6"/>
  <c r="J2" i="6"/>
  <c r="H2" i="6"/>
  <c r="B2" i="6"/>
  <c r="J242" i="13" l="1"/>
  <c r="K242" i="13" s="1"/>
  <c r="J17" i="13"/>
  <c r="J44" i="13"/>
  <c r="K44" i="13" s="1"/>
  <c r="J53" i="13"/>
  <c r="K53" i="13" s="1"/>
  <c r="J65" i="13"/>
  <c r="K65" i="13" s="1"/>
  <c r="J232" i="13"/>
  <c r="K232" i="13" s="1"/>
  <c r="J78" i="13"/>
  <c r="K78" i="13" s="1"/>
  <c r="J87" i="13"/>
  <c r="K87" i="13" s="1"/>
  <c r="J247" i="13"/>
  <c r="K247" i="13" s="1"/>
  <c r="J18" i="13"/>
  <c r="K18" i="13" s="1"/>
  <c r="J186" i="13"/>
  <c r="K186" i="13" s="1"/>
  <c r="J5" i="13"/>
  <c r="K5" i="13" s="1"/>
  <c r="J8" i="13"/>
  <c r="K8" i="13" s="1"/>
  <c r="J66" i="13"/>
  <c r="K66" i="13" s="1"/>
  <c r="J13" i="13"/>
  <c r="K13" i="13" s="1"/>
  <c r="J168" i="13"/>
  <c r="K168" i="13" s="1"/>
  <c r="J291" i="13"/>
  <c r="J50" i="13"/>
  <c r="K50" i="13" s="1"/>
  <c r="K294" i="13"/>
  <c r="K292" i="13"/>
  <c r="J26" i="13"/>
  <c r="K26" i="13" s="1"/>
  <c r="J307" i="13"/>
  <c r="K307" i="13" s="1"/>
  <c r="J62" i="13"/>
  <c r="K62" i="13" s="1"/>
  <c r="J266" i="13"/>
  <c r="K266" i="13" s="1"/>
  <c r="J293" i="13"/>
  <c r="K293" i="13" s="1"/>
  <c r="J116" i="13"/>
  <c r="K116" i="13" s="1"/>
  <c r="J300" i="13"/>
  <c r="K300" i="13" s="1"/>
  <c r="J34" i="13"/>
  <c r="K34" i="13" s="1"/>
  <c r="J289" i="13"/>
  <c r="K289" i="13" s="1"/>
  <c r="J69" i="13"/>
  <c r="J215" i="13"/>
  <c r="J131" i="13"/>
  <c r="K131" i="13" s="1"/>
  <c r="J287" i="13"/>
  <c r="J16" i="13"/>
  <c r="J43" i="13"/>
  <c r="K43" i="13" s="1"/>
  <c r="J57" i="13"/>
  <c r="J98" i="13"/>
  <c r="J143" i="13"/>
  <c r="J278" i="13"/>
  <c r="J4" i="13"/>
  <c r="J308" i="13"/>
  <c r="J268" i="13"/>
  <c r="J257" i="13"/>
  <c r="J162" i="13"/>
  <c r="J10" i="13"/>
  <c r="J277" i="13"/>
  <c r="J125" i="13"/>
  <c r="J231" i="13"/>
  <c r="J74" i="13"/>
  <c r="J38" i="13"/>
  <c r="J299" i="13"/>
  <c r="J255" i="13"/>
  <c r="J245" i="13"/>
  <c r="J234" i="13"/>
  <c r="J224" i="13"/>
  <c r="J213" i="13"/>
  <c r="J199" i="13"/>
  <c r="J185" i="13"/>
  <c r="J159" i="13"/>
  <c r="J156" i="13"/>
  <c r="J305" i="13"/>
  <c r="J297" i="13"/>
  <c r="J285" i="13"/>
  <c r="J274" i="13"/>
  <c r="J263" i="13"/>
  <c r="J252" i="13"/>
  <c r="J221" i="13"/>
  <c r="J210" i="13"/>
  <c r="J195" i="13"/>
  <c r="J181" i="13"/>
  <c r="J134" i="13"/>
  <c r="J226" i="13"/>
  <c r="J35" i="13"/>
  <c r="J47" i="13"/>
  <c r="J233" i="13"/>
  <c r="J178" i="13"/>
  <c r="J56" i="13"/>
  <c r="J154" i="13"/>
  <c r="J142" i="13"/>
  <c r="J130" i="13"/>
  <c r="J111" i="13"/>
  <c r="J99" i="13"/>
  <c r="J238" i="13"/>
  <c r="J253" i="13"/>
  <c r="J244" i="13"/>
  <c r="J70" i="13"/>
  <c r="J58" i="13"/>
  <c r="J235" i="13"/>
  <c r="J241" i="13"/>
  <c r="J144" i="13"/>
  <c r="J132" i="13"/>
  <c r="J84" i="13"/>
  <c r="J104" i="13"/>
  <c r="J113" i="13"/>
  <c r="J140" i="13"/>
  <c r="J67" i="13"/>
  <c r="J193" i="13"/>
  <c r="J166" i="13"/>
  <c r="J153" i="13"/>
  <c r="J141" i="13"/>
  <c r="J129" i="13"/>
  <c r="J211" i="13"/>
  <c r="J228" i="13"/>
  <c r="J94" i="13"/>
  <c r="J82" i="13"/>
  <c r="J76" i="13"/>
  <c r="J184" i="13"/>
  <c r="J189" i="13"/>
  <c r="J160" i="13"/>
  <c r="J206" i="13"/>
  <c r="J217" i="13"/>
  <c r="J243" i="13"/>
  <c r="J264" i="13"/>
  <c r="J249" i="13"/>
  <c r="J112" i="13"/>
  <c r="J100" i="13"/>
  <c r="J88" i="13"/>
  <c r="J179" i="13"/>
  <c r="J246" i="13"/>
  <c r="J6" i="13"/>
  <c r="J9" i="13"/>
  <c r="J12" i="13"/>
  <c r="J15" i="13"/>
  <c r="J24" i="13"/>
  <c r="J27" i="13"/>
  <c r="J30" i="13"/>
  <c r="J33" i="13"/>
  <c r="J36" i="13"/>
  <c r="J39" i="13"/>
  <c r="J42" i="13"/>
  <c r="J45" i="13"/>
  <c r="J48" i="13"/>
  <c r="J55" i="13"/>
  <c r="J63" i="13"/>
  <c r="J81" i="13"/>
  <c r="J92" i="13"/>
  <c r="J167" i="13"/>
  <c r="J304" i="13"/>
  <c r="J296" i="13"/>
  <c r="J284" i="13"/>
  <c r="J273" i="13"/>
  <c r="J262" i="13"/>
  <c r="J251" i="13"/>
  <c r="J220" i="13"/>
  <c r="J209" i="13"/>
  <c r="J194" i="13"/>
  <c r="J187" i="13"/>
  <c r="J79" i="13"/>
  <c r="J174" i="13"/>
  <c r="J201" i="13"/>
  <c r="J212" i="13"/>
  <c r="J223" i="13"/>
  <c r="J64" i="13"/>
  <c r="J283" i="13"/>
  <c r="J163" i="13"/>
  <c r="J150" i="13"/>
  <c r="J138" i="13"/>
  <c r="J126" i="13"/>
  <c r="J269" i="13"/>
  <c r="J239" i="13"/>
  <c r="J254" i="13"/>
  <c r="J265" i="13"/>
  <c r="J115" i="13"/>
  <c r="J103" i="13"/>
  <c r="J91" i="13"/>
  <c r="J170" i="13"/>
  <c r="J197" i="13"/>
  <c r="J208" i="13"/>
  <c r="J219" i="13"/>
  <c r="J256" i="13"/>
  <c r="J261" i="13"/>
  <c r="J288" i="13"/>
  <c r="J157" i="13"/>
  <c r="J107" i="13"/>
  <c r="J236" i="13"/>
  <c r="J169" i="13"/>
  <c r="J196" i="13"/>
  <c r="J207" i="13"/>
  <c r="J145" i="13"/>
  <c r="J133" i="13"/>
  <c r="J180" i="13"/>
  <c r="J114" i="13"/>
  <c r="J102" i="13"/>
  <c r="J11" i="13"/>
  <c r="J286" i="13"/>
  <c r="J281" i="13"/>
  <c r="J136" i="13"/>
  <c r="J117" i="13"/>
  <c r="J105" i="13"/>
  <c r="J59" i="13"/>
  <c r="J95" i="13"/>
  <c r="J192" i="13"/>
  <c r="J121" i="13"/>
  <c r="J109" i="13"/>
  <c r="J97" i="13"/>
  <c r="J85" i="13"/>
  <c r="J54" i="13"/>
  <c r="J203" i="13"/>
  <c r="J214" i="13"/>
  <c r="J225" i="13"/>
  <c r="J183" i="13"/>
  <c r="J276" i="13"/>
  <c r="J148" i="13"/>
  <c r="J267" i="13"/>
  <c r="J52" i="13"/>
  <c r="J60" i="13"/>
  <c r="J71" i="13"/>
  <c r="J89" i="13"/>
  <c r="J101" i="13"/>
  <c r="J110" i="13"/>
  <c r="J119" i="13"/>
  <c r="J128" i="13"/>
  <c r="J137" i="13"/>
  <c r="J146" i="13"/>
  <c r="J155" i="13"/>
  <c r="J165" i="13"/>
  <c r="J311" i="13"/>
  <c r="J303" i="13"/>
  <c r="J271" i="13"/>
  <c r="J260" i="13"/>
  <c r="J250" i="13"/>
  <c r="J240" i="13"/>
  <c r="J229" i="13"/>
  <c r="J218" i="13"/>
  <c r="J205" i="13"/>
  <c r="J190" i="13"/>
  <c r="J177" i="13"/>
  <c r="J72" i="13"/>
  <c r="J83" i="13"/>
  <c r="J173" i="13"/>
  <c r="J200" i="13"/>
  <c r="J222" i="13"/>
  <c r="J118" i="13"/>
  <c r="J106" i="13"/>
  <c r="J51" i="13"/>
  <c r="J272" i="13"/>
  <c r="J23" i="13"/>
  <c r="J227" i="13"/>
  <c r="J161" i="13"/>
  <c r="J188" i="13"/>
  <c r="J123" i="13"/>
  <c r="J191" i="13"/>
  <c r="J164" i="13"/>
  <c r="J151" i="13"/>
  <c r="J139" i="13"/>
  <c r="J127" i="13"/>
  <c r="J202" i="13"/>
  <c r="J175" i="13"/>
  <c r="J230" i="13"/>
  <c r="J120" i="13"/>
  <c r="J108" i="13"/>
  <c r="J96" i="13"/>
  <c r="J182" i="13"/>
  <c r="J275" i="13"/>
  <c r="J280" i="13"/>
  <c r="J270" i="13"/>
  <c r="J298" i="13"/>
  <c r="J302" i="13"/>
  <c r="J306" i="13"/>
  <c r="J310" i="13"/>
  <c r="J158" i="13"/>
  <c r="J73" i="13"/>
  <c r="J61" i="13"/>
  <c r="J171" i="13"/>
  <c r="J198" i="13"/>
  <c r="J147" i="13"/>
  <c r="J135" i="13"/>
  <c r="J7" i="13"/>
  <c r="J19" i="13"/>
  <c r="J22" i="13"/>
  <c r="J25" i="13"/>
  <c r="J28" i="13"/>
  <c r="J37" i="13"/>
  <c r="J40" i="13"/>
  <c r="J49" i="13"/>
  <c r="J68" i="13"/>
  <c r="J75" i="13"/>
  <c r="J86" i="13"/>
  <c r="J93" i="13"/>
  <c r="J309" i="13"/>
  <c r="J301" i="13"/>
  <c r="J290" i="13"/>
  <c r="J279" i="13"/>
  <c r="J258" i="13"/>
  <c r="J248" i="13"/>
  <c r="J237" i="13"/>
  <c r="J216" i="13"/>
  <c r="J204" i="13"/>
  <c r="J176" i="13"/>
  <c r="K14" i="13"/>
  <c r="K17" i="13"/>
  <c r="K20" i="13"/>
  <c r="K31" i="13"/>
  <c r="K46" i="13"/>
  <c r="K122" i="13"/>
  <c r="K149" i="13"/>
  <c r="K152" i="13"/>
  <c r="K313" i="13" l="1"/>
  <c r="K291" i="13"/>
  <c r="K40" i="13"/>
  <c r="K230" i="13"/>
  <c r="K151" i="13"/>
  <c r="K161" i="13"/>
  <c r="K118" i="13"/>
  <c r="K177" i="13"/>
  <c r="K240" i="13"/>
  <c r="K146" i="13"/>
  <c r="K89" i="13"/>
  <c r="K225" i="13"/>
  <c r="K109" i="13"/>
  <c r="K105" i="13"/>
  <c r="K145" i="13"/>
  <c r="K107" i="13"/>
  <c r="K219" i="13"/>
  <c r="K103" i="13"/>
  <c r="K254" i="13"/>
  <c r="K150" i="13"/>
  <c r="K212" i="13"/>
  <c r="K194" i="13"/>
  <c r="K273" i="13"/>
  <c r="K63" i="13"/>
  <c r="K36" i="13"/>
  <c r="K12" i="13"/>
  <c r="K88" i="13"/>
  <c r="K82" i="13"/>
  <c r="K141" i="13"/>
  <c r="K144" i="13"/>
  <c r="K253" i="13"/>
  <c r="K154" i="13"/>
  <c r="K252" i="13"/>
  <c r="K234" i="13"/>
  <c r="K231" i="13"/>
  <c r="K268" i="13"/>
  <c r="K98" i="13"/>
  <c r="K309" i="13"/>
  <c r="K237" i="13"/>
  <c r="K93" i="13"/>
  <c r="K37" i="13"/>
  <c r="K135" i="13"/>
  <c r="K158" i="13"/>
  <c r="K182" i="13"/>
  <c r="K175" i="13"/>
  <c r="K164" i="13"/>
  <c r="K227" i="13"/>
  <c r="K190" i="13"/>
  <c r="K250" i="13"/>
  <c r="K137" i="13"/>
  <c r="K71" i="13"/>
  <c r="K148" i="13"/>
  <c r="K214" i="13"/>
  <c r="K121" i="13"/>
  <c r="K117" i="13"/>
  <c r="K11" i="13"/>
  <c r="K207" i="13"/>
  <c r="K157" i="13"/>
  <c r="K115" i="13"/>
  <c r="K239" i="13"/>
  <c r="K163" i="13"/>
  <c r="K201" i="13"/>
  <c r="K209" i="13"/>
  <c r="K284" i="13"/>
  <c r="K296" i="13"/>
  <c r="K55" i="13"/>
  <c r="K33" i="13"/>
  <c r="K9" i="13"/>
  <c r="K100" i="13"/>
  <c r="K160" i="13"/>
  <c r="K94" i="13"/>
  <c r="K153" i="13"/>
  <c r="K140" i="13"/>
  <c r="K241" i="13"/>
  <c r="K238" i="13"/>
  <c r="K56" i="13"/>
  <c r="K47" i="13"/>
  <c r="K181" i="13"/>
  <c r="K263" i="13"/>
  <c r="K185" i="13"/>
  <c r="K245" i="13"/>
  <c r="K125" i="13"/>
  <c r="K308" i="13"/>
  <c r="K57" i="13"/>
  <c r="K215" i="13"/>
  <c r="K275" i="13"/>
  <c r="K86" i="13"/>
  <c r="K28" i="13"/>
  <c r="K147" i="13"/>
  <c r="K310" i="13"/>
  <c r="K96" i="13"/>
  <c r="K191" i="13"/>
  <c r="K23" i="13"/>
  <c r="K83" i="13"/>
  <c r="K205" i="13"/>
  <c r="K260" i="13"/>
  <c r="K303" i="13"/>
  <c r="K128" i="13"/>
  <c r="K60" i="13"/>
  <c r="K203" i="13"/>
  <c r="K192" i="13"/>
  <c r="K136" i="13"/>
  <c r="K102" i="13"/>
  <c r="K196" i="13"/>
  <c r="K208" i="13"/>
  <c r="K283" i="13"/>
  <c r="K174" i="13"/>
  <c r="K220" i="13"/>
  <c r="K304" i="13"/>
  <c r="K48" i="13"/>
  <c r="K30" i="13"/>
  <c r="K6" i="13"/>
  <c r="K112" i="13"/>
  <c r="K264" i="13"/>
  <c r="K189" i="13"/>
  <c r="K166" i="13"/>
  <c r="K113" i="13"/>
  <c r="K235" i="13"/>
  <c r="K99" i="13"/>
  <c r="K178" i="13"/>
  <c r="K35" i="13"/>
  <c r="K195" i="13"/>
  <c r="K274" i="13"/>
  <c r="K297" i="13"/>
  <c r="K199" i="13"/>
  <c r="K255" i="13"/>
  <c r="K277" i="13"/>
  <c r="K4" i="13"/>
  <c r="K73" i="13"/>
  <c r="K306" i="13"/>
  <c r="K222" i="13"/>
  <c r="K218" i="13"/>
  <c r="K311" i="13"/>
  <c r="K119" i="13"/>
  <c r="K52" i="13"/>
  <c r="K276" i="13"/>
  <c r="K54" i="13"/>
  <c r="K281" i="13"/>
  <c r="K114" i="13"/>
  <c r="K169" i="13"/>
  <c r="K288" i="13"/>
  <c r="K197" i="13"/>
  <c r="K269" i="13"/>
  <c r="K79" i="13"/>
  <c r="K167" i="13"/>
  <c r="K45" i="13"/>
  <c r="K27" i="13"/>
  <c r="K246" i="13"/>
  <c r="K243" i="13"/>
  <c r="K184" i="13"/>
  <c r="K228" i="13"/>
  <c r="K193" i="13"/>
  <c r="K104" i="13"/>
  <c r="K58" i="13"/>
  <c r="K111" i="13"/>
  <c r="K226" i="13"/>
  <c r="K210" i="13"/>
  <c r="K285" i="13"/>
  <c r="K305" i="13"/>
  <c r="K213" i="13"/>
  <c r="K299" i="13"/>
  <c r="K10" i="13"/>
  <c r="K278" i="13"/>
  <c r="K16" i="13"/>
  <c r="K69" i="13"/>
  <c r="K7" i="13"/>
  <c r="K248" i="13"/>
  <c r="K176" i="13"/>
  <c r="K75" i="13"/>
  <c r="K198" i="13"/>
  <c r="K108" i="13"/>
  <c r="K272" i="13"/>
  <c r="K72" i="13"/>
  <c r="K204" i="13"/>
  <c r="K279" i="13"/>
  <c r="K68" i="13"/>
  <c r="K22" i="13"/>
  <c r="K171" i="13"/>
  <c r="K302" i="13"/>
  <c r="K120" i="13"/>
  <c r="K127" i="13"/>
  <c r="K123" i="13"/>
  <c r="K51" i="13"/>
  <c r="K200" i="13"/>
  <c r="K229" i="13"/>
  <c r="K165" i="13"/>
  <c r="K110" i="13"/>
  <c r="K183" i="13"/>
  <c r="K85" i="13"/>
  <c r="K95" i="13"/>
  <c r="K180" i="13"/>
  <c r="K261" i="13"/>
  <c r="K170" i="13"/>
  <c r="K126" i="13"/>
  <c r="K64" i="13"/>
  <c r="K187" i="13"/>
  <c r="K251" i="13"/>
  <c r="K92" i="13"/>
  <c r="K42" i="13"/>
  <c r="K24" i="13"/>
  <c r="K249" i="13"/>
  <c r="K217" i="13"/>
  <c r="K211" i="13"/>
  <c r="K84" i="13"/>
  <c r="K70" i="13"/>
  <c r="K130" i="13"/>
  <c r="K221" i="13"/>
  <c r="K156" i="13"/>
  <c r="K224" i="13"/>
  <c r="K38" i="13"/>
  <c r="K162" i="13"/>
  <c r="K287" i="13"/>
  <c r="K258" i="13"/>
  <c r="K25" i="13"/>
  <c r="K270" i="13"/>
  <c r="K202" i="13"/>
  <c r="K271" i="13"/>
  <c r="K216" i="13"/>
  <c r="K290" i="13"/>
  <c r="K301" i="13"/>
  <c r="K49" i="13"/>
  <c r="K19" i="13"/>
  <c r="K61" i="13"/>
  <c r="K298" i="13"/>
  <c r="K280" i="13"/>
  <c r="K139" i="13"/>
  <c r="K188" i="13"/>
  <c r="K106" i="13"/>
  <c r="K173" i="13"/>
  <c r="K155" i="13"/>
  <c r="K101" i="13"/>
  <c r="K267" i="13"/>
  <c r="K97" i="13"/>
  <c r="K59" i="13"/>
  <c r="K286" i="13"/>
  <c r="K133" i="13"/>
  <c r="K236" i="13"/>
  <c r="K256" i="13"/>
  <c r="K91" i="13"/>
  <c r="K265" i="13"/>
  <c r="K138" i="13"/>
  <c r="K223" i="13"/>
  <c r="K262" i="13"/>
  <c r="K81" i="13"/>
  <c r="K39" i="13"/>
  <c r="K15" i="13"/>
  <c r="K179" i="13"/>
  <c r="K206" i="13"/>
  <c r="K76" i="13"/>
  <c r="K129" i="13"/>
  <c r="K67" i="13"/>
  <c r="K132" i="13"/>
  <c r="K244" i="13"/>
  <c r="K142" i="13"/>
  <c r="K233" i="13"/>
  <c r="K134" i="13"/>
  <c r="K159" i="13"/>
  <c r="K74" i="13"/>
  <c r="K257" i="13"/>
  <c r="K143" i="13"/>
  <c r="O4" i="13" l="1"/>
  <c r="Q4" i="13" s="1"/>
</calcChain>
</file>

<file path=xl/sharedStrings.xml><?xml version="1.0" encoding="utf-8"?>
<sst xmlns="http://schemas.openxmlformats.org/spreadsheetml/2006/main" count="4680" uniqueCount="1061">
  <si>
    <t>No</t>
  </si>
  <si>
    <t>Proses</t>
  </si>
  <si>
    <t>Average Testing (Hours)</t>
  </si>
  <si>
    <t>Buffer Waktu Testing (*30%)</t>
  </si>
  <si>
    <t>Kode Skenario</t>
  </si>
  <si>
    <t>PIC UAT</t>
  </si>
  <si>
    <t>Web View BSI OTO</t>
  </si>
  <si>
    <t>BYD001</t>
  </si>
  <si>
    <t>CBAS Digital</t>
  </si>
  <si>
    <t>BYD002</t>
  </si>
  <si>
    <t>Email Notifikasi Submit Order</t>
  </si>
  <si>
    <t>BYD003</t>
  </si>
  <si>
    <t>Entry Form Digital</t>
  </si>
  <si>
    <t>BYD004</t>
  </si>
  <si>
    <t>Data Entry - Screening 2</t>
  </si>
  <si>
    <t>BYD005</t>
  </si>
  <si>
    <t>Reguler Survey</t>
  </si>
  <si>
    <t>BYD006</t>
  </si>
  <si>
    <t>Credit Approval (CA)</t>
  </si>
  <si>
    <t>BYD007</t>
  </si>
  <si>
    <t>Tele Survey</t>
  </si>
  <si>
    <t>BYD008</t>
  </si>
  <si>
    <t>KYC</t>
  </si>
  <si>
    <t>BYD009</t>
  </si>
  <si>
    <t>PO/CL</t>
  </si>
  <si>
    <t>BYD010</t>
  </si>
  <si>
    <t>FDE</t>
  </si>
  <si>
    <t>BYD011</t>
  </si>
  <si>
    <t>Verifikasi Data-PPD</t>
  </si>
  <si>
    <t>BYD012</t>
  </si>
  <si>
    <t>FPD</t>
  </si>
  <si>
    <t>BYD013</t>
  </si>
  <si>
    <t>Detail Application - Tracking Order</t>
  </si>
  <si>
    <t>BYD014</t>
  </si>
  <si>
    <t>CBAS MASS</t>
  </si>
  <si>
    <t>BYD015</t>
  </si>
  <si>
    <t>Approval Return</t>
  </si>
  <si>
    <t>BYD016</t>
  </si>
  <si>
    <t>RTRE</t>
  </si>
  <si>
    <t>BYD017</t>
  </si>
  <si>
    <t>To Do List SC2</t>
  </si>
  <si>
    <t>BYD018</t>
  </si>
  <si>
    <t>Auto Reject SC1</t>
  </si>
  <si>
    <t>BYD019</t>
  </si>
  <si>
    <t>Auto Reject SC2</t>
  </si>
  <si>
    <t>BYD020</t>
  </si>
  <si>
    <t>Auto Reject SC3</t>
  </si>
  <si>
    <t>BYD021</t>
  </si>
  <si>
    <t>BYD022</t>
  </si>
  <si>
    <t>BYD023</t>
  </si>
  <si>
    <t>BYD024</t>
  </si>
  <si>
    <t>BYD025</t>
  </si>
  <si>
    <t>BYD026</t>
  </si>
  <si>
    <t>BYD027</t>
  </si>
  <si>
    <t>BYD028</t>
  </si>
  <si>
    <t>BYD029</t>
  </si>
  <si>
    <t>BYD030</t>
  </si>
  <si>
    <t>BYD031</t>
  </si>
  <si>
    <t>BYD032</t>
  </si>
  <si>
    <t>BYD033</t>
  </si>
  <si>
    <t>BYD034</t>
  </si>
  <si>
    <t>BYD035</t>
  </si>
  <si>
    <t>BYD036</t>
  </si>
  <si>
    <t>BYD037</t>
  </si>
  <si>
    <t>BYD038</t>
  </si>
  <si>
    <t>BYD039</t>
  </si>
  <si>
    <t>BYD040</t>
  </si>
  <si>
    <t>BYD041</t>
  </si>
  <si>
    <t>NEW MATRIX DATA UAT</t>
  </si>
  <si>
    <t>NO</t>
  </si>
  <si>
    <t>MATRIX DATA</t>
  </si>
  <si>
    <t>SOURCE ORDER</t>
  </si>
  <si>
    <t>TIPE ORDER</t>
  </si>
  <si>
    <t>SEGMEN PEKERJAAN</t>
  </si>
  <si>
    <t>EVENT</t>
  </si>
  <si>
    <t>CUSTOMER CATEGORY</t>
  </si>
  <si>
    <t>STATUS PERKAWINAN</t>
  </si>
  <si>
    <t>JENIS KENDARAAN</t>
  </si>
  <si>
    <t>WILAYAH</t>
  </si>
  <si>
    <t>SPK?
(Y/N)</t>
  </si>
  <si>
    <t>Hasil Screening MASS</t>
  </si>
  <si>
    <t>CBAS DIGITAL</t>
  </si>
  <si>
    <t>KOLEKTIBILITAS NASABAH</t>
  </si>
  <si>
    <t>MAPPING RAC DBR</t>
  </si>
  <si>
    <t>FINAL SCREENING</t>
  </si>
  <si>
    <t>PROSES RTRE</t>
  </si>
  <si>
    <t>TANGGAL RTRE</t>
  </si>
  <si>
    <t>HASIL CBAS MASS</t>
  </si>
  <si>
    <t>PROSES CANCEL/REJECT</t>
  </si>
  <si>
    <t>AUTO REJECT</t>
  </si>
  <si>
    <t>VALIDASI ACCEPT OFFER</t>
  </si>
  <si>
    <t>DEBITUR</t>
  </si>
  <si>
    <t>PASANGAN</t>
  </si>
  <si>
    <t>HASIL MATRIX KOL</t>
  </si>
  <si>
    <t>PENDAPATAN</t>
  </si>
  <si>
    <t>DBR</t>
  </si>
  <si>
    <t>RAC DBR</t>
  </si>
  <si>
    <t>CREDIT APPROVAL</t>
  </si>
  <si>
    <t>VERDAT</t>
  </si>
  <si>
    <t>NEW</t>
  </si>
  <si>
    <t>DEDUP</t>
  </si>
  <si>
    <t>EFD</t>
  </si>
  <si>
    <t>Credit Approval</t>
  </si>
  <si>
    <t>SC1</t>
  </si>
  <si>
    <t>SC2</t>
  </si>
  <si>
    <t>SC3</t>
  </si>
  <si>
    <t>CANCEL OFFER</t>
  </si>
  <si>
    <t>EXPIRED OFFER</t>
  </si>
  <si>
    <t>BS001</t>
  </si>
  <si>
    <t>BSI BYOND</t>
  </si>
  <si>
    <t>WHITELIST</t>
  </si>
  <si>
    <t xml:space="preserve">ASN </t>
  </si>
  <si>
    <t>TANPA EVENT</t>
  </si>
  <si>
    <t>BSI PAYROLL</t>
  </si>
  <si>
    <t>BELUM KAWIN</t>
  </si>
  <si>
    <t>MOBIL BARU</t>
  </si>
  <si>
    <t>JABODETABEK &amp; SERANG</t>
  </si>
  <si>
    <t>Y</t>
  </si>
  <si>
    <t>REGULER SURVEY</t>
  </si>
  <si>
    <t>FOUND</t>
  </si>
  <si>
    <t>OK</t>
  </si>
  <si>
    <t>&lt;= 10 juta/bulan</t>
  </si>
  <si>
    <t>&lt;= 40%</t>
  </si>
  <si>
    <t>BS002</t>
  </si>
  <si>
    <t xml:space="preserve">BUMN / BUMD  </t>
  </si>
  <si>
    <t>GAIKINDO INDONESIA INTERNATIONAL AUTO SHOW (GIIAS)</t>
  </si>
  <si>
    <t>BSI PRIORITAS</t>
  </si>
  <si>
    <t>KAWIN</t>
  </si>
  <si>
    <t>SUMATRA</t>
  </si>
  <si>
    <t>N</t>
  </si>
  <si>
    <t>INSTANT APPROVAL</t>
  </si>
  <si>
    <t>&gt; 10 juta/bulan</t>
  </si>
  <si>
    <t>&lt;= 50%</t>
  </si>
  <si>
    <t>v</t>
  </si>
  <si>
    <t>&lt; TGL 15</t>
  </si>
  <si>
    <t>BS003</t>
  </si>
  <si>
    <t xml:space="preserve">Pegawai Swasta  </t>
  </si>
  <si>
    <t>GAIKINDO JAKARTA AUTO WEEK (GJAW)</t>
  </si>
  <si>
    <t>ELSE</t>
  </si>
  <si>
    <t>KALIMANTAN</t>
  </si>
  <si>
    <t>BS004</t>
  </si>
  <si>
    <t xml:space="preserve">Profesional  </t>
  </si>
  <si>
    <t>INDONESIA INTERNATIONAL MOTOR SHOW (IIMS)</t>
  </si>
  <si>
    <t>MOBIL BEKAS</t>
  </si>
  <si>
    <t>NOT OK</t>
  </si>
  <si>
    <t>BS005</t>
  </si>
  <si>
    <t xml:space="preserve">Wiraswasta  </t>
  </si>
  <si>
    <t>BSI INTERNATIONAL EXPO</t>
  </si>
  <si>
    <t>BS006</t>
  </si>
  <si>
    <t xml:space="preserve">Dokter  </t>
  </si>
  <si>
    <t>MUF AUTO FEST</t>
  </si>
  <si>
    <t>NO RESPONSE</t>
  </si>
  <si>
    <t>BS007</t>
  </si>
  <si>
    <t xml:space="preserve">TNI / Polri  </t>
  </si>
  <si>
    <t>BSI OTO SHOW</t>
  </si>
  <si>
    <t>MOTOR BARU</t>
  </si>
  <si>
    <t>BS008</t>
  </si>
  <si>
    <t>Pejabat Penyelenggara Negara</t>
  </si>
  <si>
    <t>CUSTOMER GATHERING</t>
  </si>
  <si>
    <t>BS009</t>
  </si>
  <si>
    <t>Lainnya</t>
  </si>
  <si>
    <t>SHOW UNIT &amp; TEST DRIVE BSI OTO</t>
  </si>
  <si>
    <t>&gt; TGL 15</t>
  </si>
  <si>
    <t>BS010</t>
  </si>
  <si>
    <t>MILAD BSI</t>
  </si>
  <si>
    <t>BS011</t>
  </si>
  <si>
    <t>Pegawai Swasta</t>
  </si>
  <si>
    <t>BSI FEST RAMADHAN</t>
  </si>
  <si>
    <t>BS012</t>
  </si>
  <si>
    <t>NON-WHITELIST</t>
  </si>
  <si>
    <t>BS013</t>
  </si>
  <si>
    <t>BS014</t>
  </si>
  <si>
    <t>BS015</t>
  </si>
  <si>
    <t>BS016</t>
  </si>
  <si>
    <t>BS017</t>
  </si>
  <si>
    <t>BS018</t>
  </si>
  <si>
    <t>BS019</t>
  </si>
  <si>
    <t>BS020</t>
  </si>
  <si>
    <t>&gt; 40%</t>
  </si>
  <si>
    <t>BS021</t>
  </si>
  <si>
    <t>BS022</t>
  </si>
  <si>
    <t>&gt; 50%</t>
  </si>
  <si>
    <t>BS023</t>
  </si>
  <si>
    <t>-</t>
  </si>
  <si>
    <t>BS024</t>
  </si>
  <si>
    <t>BS025</t>
  </si>
  <si>
    <t>BS026</t>
  </si>
  <si>
    <t>BS027</t>
  </si>
  <si>
    <t>BS028</t>
  </si>
  <si>
    <t>BS029</t>
  </si>
  <si>
    <t>BS030</t>
  </si>
  <si>
    <t>BS031</t>
  </si>
  <si>
    <t>BS032</t>
  </si>
  <si>
    <t>BS033</t>
  </si>
  <si>
    <t>BS034</t>
  </si>
  <si>
    <t>BS035</t>
  </si>
  <si>
    <t>BS036</t>
  </si>
  <si>
    <t>BS037</t>
  </si>
  <si>
    <t>BS038</t>
  </si>
  <si>
    <t>OLD MATRIX DATA UAT</t>
  </si>
  <si>
    <t>*NOTE : KARENA KETERBATASAN TIMELINE UAT, MAKA MATRIX DATA MENGGUNAKAN 'NEW MATRIX DATA UAT' YANG SUDAH DIRAMPINGKAN SECARA DATA</t>
  </si>
  <si>
    <t>PAYROLL</t>
  </si>
  <si>
    <t>PRIORITY</t>
  </si>
  <si>
    <t>ASN</t>
  </si>
  <si>
    <t>NON EVENT</t>
  </si>
  <si>
    <t>BUMN / BUMD</t>
  </si>
  <si>
    <t>JAWA BARAT</t>
  </si>
  <si>
    <t>Instant Approval</t>
  </si>
  <si>
    <t>PEGAWAI SWASTA</t>
  </si>
  <si>
    <t>JAWA TENGAH</t>
  </si>
  <si>
    <t>PROFESSIONAL</t>
  </si>
  <si>
    <t>JAWA TIMUR</t>
  </si>
  <si>
    <t>WIRASWASTA</t>
  </si>
  <si>
    <t>BALI, &amp; NUSA TENGGARA</t>
  </si>
  <si>
    <t>DOKTER</t>
  </si>
  <si>
    <t>SUMATERA</t>
  </si>
  <si>
    <t>ELSE (OK)</t>
  </si>
  <si>
    <t>TNI / POLRI</t>
  </si>
  <si>
    <t>SULAWESI</t>
  </si>
  <si>
    <t>PEJABAT PENYELENGGARA NEGARA</t>
  </si>
  <si>
    <t>LAINNYA</t>
  </si>
  <si>
    <t xml:space="preserve"> NOT OK</t>
  </si>
  <si>
    <t>BS039</t>
  </si>
  <si>
    <t>BS040</t>
  </si>
  <si>
    <t>BS041</t>
  </si>
  <si>
    <t>BS042</t>
  </si>
  <si>
    <t>BS043</t>
  </si>
  <si>
    <t>BS044</t>
  </si>
  <si>
    <t>BS045</t>
  </si>
  <si>
    <t>BS046</t>
  </si>
  <si>
    <t>BS047</t>
  </si>
  <si>
    <t>BS048</t>
  </si>
  <si>
    <t>BS049</t>
  </si>
  <si>
    <t>BS050</t>
  </si>
  <si>
    <t>BS051</t>
  </si>
  <si>
    <t>BS052</t>
  </si>
  <si>
    <t>BS053</t>
  </si>
  <si>
    <t>BS054</t>
  </si>
  <si>
    <t>BS055</t>
  </si>
  <si>
    <t>BS056</t>
  </si>
  <si>
    <t>BS057</t>
  </si>
  <si>
    <t>BS058</t>
  </si>
  <si>
    <t>BS059</t>
  </si>
  <si>
    <t>BS060</t>
  </si>
  <si>
    <t>BS061</t>
  </si>
  <si>
    <t>BS062</t>
  </si>
  <si>
    <t>BS063</t>
  </si>
  <si>
    <t>BS064</t>
  </si>
  <si>
    <t>BS065</t>
  </si>
  <si>
    <t>BS066</t>
  </si>
  <si>
    <t>BS067</t>
  </si>
  <si>
    <t>BS068</t>
  </si>
  <si>
    <t>BS069</t>
  </si>
  <si>
    <t>BS070</t>
  </si>
  <si>
    <t>BS071</t>
  </si>
  <si>
    <t>BS072</t>
  </si>
  <si>
    <t>BS073</t>
  </si>
  <si>
    <t>BS074</t>
  </si>
  <si>
    <t>BS075</t>
  </si>
  <si>
    <t>Leader : Adityo</t>
  </si>
  <si>
    <t>PIC : Kevin, Azhar, Affinia, Rasya</t>
  </si>
  <si>
    <t>Test Case ID</t>
  </si>
  <si>
    <t>Test Data</t>
  </si>
  <si>
    <t>Module/Feature</t>
  </si>
  <si>
    <t>Test Case Description</t>
  </si>
  <si>
    <t>Test Steps</t>
  </si>
  <si>
    <t>Expected Result</t>
  </si>
  <si>
    <t>PIC</t>
  </si>
  <si>
    <t>Hours</t>
  </si>
  <si>
    <t>Retest</t>
  </si>
  <si>
    <t>Documentation</t>
  </si>
  <si>
    <t>Total</t>
  </si>
  <si>
    <t>Total Hours</t>
  </si>
  <si>
    <t>MD UAT</t>
  </si>
  <si>
    <t>Duration</t>
  </si>
  <si>
    <t>BYD001-01</t>
  </si>
  <si>
    <t>Melakukan pengajuan data kontrak melalui Web View BSI BYOND</t>
  </si>
  <si>
    <t>1. Akses menu Web View BSI BYOND
2. Melakukan inputan data kendaraan
3. Melakukan inputan simulasi pembiayaan
4. Melakukan inputan verifikasi data
5. Konfirmasi pengajuan</t>
  </si>
  <si>
    <t>1. Berhasil akses menu Web View BSI BYOND
2. Berhasil melakukan inputan data kendaraan
3. Berhasil melakukan inputan simulasi pembiayaan
4. Berhasil melakukan inputan data nasabah
5. Berhasil submit pengajuan dari Web View BSI BYOND</t>
  </si>
  <si>
    <t>BYD001-02</t>
  </si>
  <si>
    <t>Melakukan proses verifikasi administrasi atas pengajuan yang dilakukan sebelumnya</t>
  </si>
  <si>
    <r>
      <t xml:space="preserve">1. Akses menu CBAS Digital
2. Lakukan pengecekan data yang sudah terhit ke CBAS Digital
3. Cek callback actcode Tracking BSI pada database
</t>
    </r>
    <r>
      <rPr>
        <b/>
        <sz val="11"/>
        <color theme="1"/>
        <rFont val="Aptos"/>
        <family val="2"/>
      </rPr>
      <t>(Excel Lampiran BSI BYOND - Tracking BSI)</t>
    </r>
  </si>
  <si>
    <t>1. Berhasil akses menu CBAS Digital
2. Hasil screening data pada CBAS Digital untuk Verifikasi Administrasi sudah sesuai
3. Callback actcode sudah sesuai</t>
  </si>
  <si>
    <t>BYD001-03</t>
  </si>
  <si>
    <t>Pengecekan kiriman data dan format email submit order</t>
  </si>
  <si>
    <t>1. Buka e-mail
2. Pastikan e-email terkirim
3. Lakukan pengecekan format dan data pada kiriman e-mail</t>
  </si>
  <si>
    <t>1. Berhasil akses e-mail
2. E-mail berhasil masuk ke Inbox
3. Format dan data terlampir pada e-mail sudah sesuai</t>
  </si>
  <si>
    <t>BYD001-04</t>
  </si>
  <si>
    <t>Pengecekan dan lanjutan inputan data kontrak pada EFD MASS</t>
  </si>
  <si>
    <r>
      <t xml:space="preserve">1. Akses menu EFD
2. Proses lanjutan inputan data
3. Lakukan pengecekan pada mapping submit order data terkait autofill data, penambahan field baru dan penambahan label baru
</t>
    </r>
    <r>
      <rPr>
        <b/>
        <sz val="11"/>
        <color theme="1"/>
        <rFont val="Aptos"/>
        <family val="2"/>
      </rPr>
      <t xml:space="preserve">(Excel Lampiran BSI BYOND - Sheet Mapping Submit Order)
</t>
    </r>
    <r>
      <rPr>
        <sz val="11"/>
        <color theme="1"/>
        <rFont val="Aptos"/>
        <family val="2"/>
      </rPr>
      <t xml:space="preserve">4. Konfirmasi EFD
5. Cek callback actcode tracking BSI dan tracking order MASS
</t>
    </r>
    <r>
      <rPr>
        <b/>
        <sz val="11"/>
        <color theme="1"/>
        <rFont val="Aptos"/>
        <family val="2"/>
      </rPr>
      <t>(Excel Lampiran BSI BYOND - Tracking BSI)</t>
    </r>
  </si>
  <si>
    <t>1. Berhasil akses EFD
2. Berhasil melanjutkan inputan data
3. Terkait autofill, penambahan field dan penambahan label di EFD sudah sesuai
4. Berhasil konfirmasi EFD
5. Callback tracking BSI dan tracking order MASS sesuai</t>
  </si>
  <si>
    <t>BYD001-05</t>
  </si>
  <si>
    <t>Pengecekan dan proses lanjutan inputan data kontrak pada SC2</t>
  </si>
  <si>
    <r>
      <t xml:space="preserve">1. Akses menu To Do List SC2
2. Pengecekan penambahan informasi tipe order dan customer category pada tampilan data to do list sc2
3. Masuk ke form data entry SC2
4. Melakukan proses inputan data entry serta melakukan pengecekan mapping submit order data terkait autofill data, penambahan field baru dan penambahan label baru
</t>
    </r>
    <r>
      <rPr>
        <b/>
        <sz val="11"/>
        <color theme="1"/>
        <rFont val="Aptos"/>
        <family val="2"/>
      </rPr>
      <t xml:space="preserve">(Excel Lampiran BSI BYOND - Sheet Mapping Submit Order)
</t>
    </r>
    <r>
      <rPr>
        <sz val="11"/>
        <color theme="1"/>
        <rFont val="Aptos"/>
        <family val="2"/>
      </rPr>
      <t xml:space="preserve">5. Input struktur kredit sesuai dengan matrix paket kredit
</t>
    </r>
    <r>
      <rPr>
        <b/>
        <sz val="11"/>
        <color theme="1"/>
        <rFont val="Aptos"/>
        <family val="2"/>
      </rPr>
      <t>(Excel Lampiran BSI BYOND - Sheet Matrix Paket Kredit Mobil Baru/Mobil Bekas/Motor Baru)</t>
    </r>
    <r>
      <rPr>
        <sz val="11"/>
        <color theme="1"/>
        <rFont val="Aptos"/>
        <family val="2"/>
      </rPr>
      <t xml:space="preserve">
6. Konfirmasi data entry screening 2
7. Cek callback actcode tracking BSI dan tracking order MASS
</t>
    </r>
    <r>
      <rPr>
        <b/>
        <sz val="11"/>
        <color theme="1"/>
        <rFont val="Aptos"/>
        <family val="2"/>
      </rPr>
      <t>(Excel Lampiran BSI BYOND - Tracking BSI)</t>
    </r>
  </si>
  <si>
    <t>1. Berhasil masuk ke menu to do list SC2
2. Tambahan informasi pada tampilan to do list sudah sesuai
3. Berhasil masuk ke form data entry SC2
4. Berhasil menlanjutkan inputan dan autofill, penambahan field serta penambahan label sudah sesuai
5. Inputan struktur kredit sudah sesuai dengan matrix paket kredit
6. Berhasil konfirmasi
7. Callback tracking BSI dan tracking order MASS sesuai</t>
  </si>
  <si>
    <t>BYD001-06</t>
  </si>
  <si>
    <t>Proses actcode terima offer dan lanjutan inputan data kontrak pada Reguler Survey</t>
  </si>
  <si>
    <r>
      <t xml:space="preserve">1. Akses menu Reguler Survey
2. Cek validasi ketika BSI BYOND belum accept offer
3. Lakukan proses accept offer
4. Akses form Reguler Survey
5. Klik button Detail Application pada Reguler Survey dan lakukan pengecekan informasi data pada Tab Order Digital
6. Lanjutan proses inputan data pada Reguler Survey
7. Konfirmasi Reguler Survey
8. Cek callback actcode tracking BSI dan tracking order MASS
</t>
    </r>
    <r>
      <rPr>
        <b/>
        <sz val="11"/>
        <color theme="1"/>
        <rFont val="Aptos"/>
        <family val="2"/>
      </rPr>
      <t>(Excel Lampiran BSI BYOND - Tracking BSI)</t>
    </r>
  </si>
  <si>
    <t xml:space="preserve">1. Berhasil masuk ke menu Reguler Survey
2. Validasi belum accept offer sudah sesuai
3. Berhasil proses accept offer
4. Berhasil masuk ke form Reguler Survey
5. Berhasil klik button Detail Application dan informasi pada Tab Order Digital sudah sesuai
6. Berhasil input Reguler Survey
7. Berhasil konfirmasi Reguler Survey
8. Callback tracking BSI dan tracking order MASS sesuai
</t>
  </si>
  <si>
    <t>BYD001-07</t>
  </si>
  <si>
    <t>Pengecekan dan lanjutan proses data kontrak pada Credit Approval (CA)</t>
  </si>
  <si>
    <r>
      <t xml:space="preserve">1. Akses menu Credit Approval
2. Lakukan pengecekan informasi pada Tab Order Digital di CA
3. Lakukan proses approval sampai full approved
4. Cek callback actcode tracking BSI dan tracking order MASS
</t>
    </r>
    <r>
      <rPr>
        <b/>
        <sz val="11"/>
        <color theme="1"/>
        <rFont val="Aptos"/>
        <family val="2"/>
      </rPr>
      <t>(Excel Lampiran BSI BYOND - Tracking BSI)</t>
    </r>
  </si>
  <si>
    <t>1. Berhasil masuk ke menu CA
2. Informasi pada Tab Order Digital sudah sesuai
3. Data kontrak berhasil full approved
4. Callback tracking BSI dan tracking order MASS sesuai</t>
  </si>
  <si>
    <t>BYD001-08</t>
  </si>
  <si>
    <t>Melakukan cetak PO</t>
  </si>
  <si>
    <r>
      <t xml:space="preserve">1. Akses menu PO
2. Lakukan proses cetak PO
3. Cek callback actcode tracking BSI dan tracking order MASS
</t>
    </r>
    <r>
      <rPr>
        <b/>
        <sz val="11"/>
        <color theme="1"/>
        <rFont val="Aptos"/>
        <family val="2"/>
      </rPr>
      <t>(Excel Lampiran BSI BYOND - Tracking BSI)</t>
    </r>
  </si>
  <si>
    <t>1. Berhasil masuk ke menu PO
2. Berhasil cetak PO
3. Callback tracking BSI dan tracking order MASS sesuai</t>
  </si>
  <si>
    <t>BYD001-09</t>
  </si>
  <si>
    <t>Proses Full Data Entry (FDE) untuk data kontrak terkait</t>
  </si>
  <si>
    <r>
      <t xml:space="preserve">1. Akses menu FDE
2. Lakukan pengecekan informasi pada Tab Order Digital di FDE
3. Proses inputan pada FDE
4. Konfirmasi FDE
5. Cek callback actcode tracking BSI dan tracking order MASS
</t>
    </r>
    <r>
      <rPr>
        <b/>
        <sz val="11"/>
        <color theme="1"/>
        <rFont val="Aptos"/>
        <family val="2"/>
      </rPr>
      <t>(Excel Lampiran BSI BYOND - Tracking BSI)</t>
    </r>
  </si>
  <si>
    <t>1. Berhasil masuk ke menu FDE
2. Informasi pada Tab Order Digital sudah sesuai
3. Proses input FDE berhasil
4. Callback tracking BSI dan tracking order MASS sesuai</t>
  </si>
  <si>
    <t>BYD001-10</t>
  </si>
  <si>
    <t>Proses Verifikasi Data sampai dengan PPD untuk data kontrak terkait</t>
  </si>
  <si>
    <r>
      <t xml:space="preserve">1. Akses menu Verdat
2. Lakukan proses verdat sampai dengan PPD
3. Lakukan pengecekan informasi pada Tab Order Digital di Verdat
4. Konfirmasi proses Verdat
5. Save dan konfirmasi proses PPD
6. Cek callback actcode tracking BSI dan tracking order MASS
</t>
    </r>
    <r>
      <rPr>
        <b/>
        <sz val="11"/>
        <color theme="1"/>
        <rFont val="Aptos"/>
        <family val="2"/>
      </rPr>
      <t>(Excel Lampiran BSI BYOND - Tracking BSI)</t>
    </r>
  </si>
  <si>
    <t>1. Berhasil akses ke menu Verdat
2. Berhasil melakukan proses verdat sampai PPD
3. Informasi pada Tab Order Digital sudah sesuai
4. Berhasil konfirmasi proses verdat
5. Berhasil konfirmasi PPD
6. Callback tracking BSI dan tracking order MASS sesuai</t>
  </si>
  <si>
    <t>BYD001-11</t>
  </si>
  <si>
    <t>Proses FPD untuk data kontrak terkait</t>
  </si>
  <si>
    <t>1. Akses menu FPD
2. Lakukan proses FPD</t>
  </si>
  <si>
    <t>1. Berhasil akses menu FPD
2. Berhasil konfirmasi FPD</t>
  </si>
  <si>
    <t>BYD001-12</t>
  </si>
  <si>
    <t>Melakukan pengecekan informasi Order Digital pada Detail App</t>
  </si>
  <si>
    <t>1. Akses menu Tracking Order
2. Klik button aksi dan klik lagi button Detail Application
3. Lakukan pengecekan informasi pada Tab Order Digital di Detail App-Tracking Order</t>
  </si>
  <si>
    <t>1. Berhasil akses ke menu Tracking Order
2. Berhasil klik button aksi dan button detail application
3. Informasi pada Tab Order Digital sudah sesuai</t>
  </si>
  <si>
    <t>BYD002-01</t>
  </si>
  <si>
    <t>BYD002-02</t>
  </si>
  <si>
    <t>BYD002-03</t>
  </si>
  <si>
    <t>BYD002-04</t>
  </si>
  <si>
    <t>Pengecekan dan lanjutkan inputan data kontrak pada EFD MASS</t>
  </si>
  <si>
    <r>
      <t xml:space="preserve">1. Akses menu EFD
2. Proses lanjutkan inputan data
3. Lakukan pengecekan pada mapping submit order data terkait autofill data, penambahan field baru dan penambahan label baru
</t>
    </r>
    <r>
      <rPr>
        <b/>
        <sz val="11"/>
        <color theme="1"/>
        <rFont val="Aptos"/>
        <family val="2"/>
      </rPr>
      <t xml:space="preserve">(Excel Lampiran BSI BYOND - Sheet Mapping Submit Order)
</t>
    </r>
    <r>
      <rPr>
        <sz val="11"/>
        <color theme="1"/>
        <rFont val="Aptos"/>
        <family val="2"/>
      </rPr>
      <t xml:space="preserve">4. Konfirmasi EFD
5. Cek callback actcode tracking BSI dan tracking order MASS
</t>
    </r>
    <r>
      <rPr>
        <b/>
        <sz val="11"/>
        <color theme="1"/>
        <rFont val="Aptos"/>
        <family val="2"/>
      </rPr>
      <t>(Excel Lampiran BSI BYOND - Tracking BSI)</t>
    </r>
  </si>
  <si>
    <t>BYD002-05</t>
  </si>
  <si>
    <t>Pengecekan dan proses lanjutkan inputan data kontrak pada SC2</t>
  </si>
  <si>
    <t>BYD002-06</t>
  </si>
  <si>
    <t>Proses actcode terima offer dan lanjutkan inputan data kontrak pada Tele Survey</t>
  </si>
  <si>
    <r>
      <t xml:space="preserve">1. Akses menu Tele Survey
2. Cek validasi ketika BSI BYOND belum accept offer
3. Lakukan proses accept offer
4. Akses form Tele Survey
5. Klik button Detail Application pada Tele Survey dan lakukan pengecekan informasi data pada Tab Order Digital
6. Lanjutkan proses inputan data pada Tele Survey
7. Konfirmasi Tele Survey
8. Cek callback actcode tracking BSI dan tracking order MASS
</t>
    </r>
    <r>
      <rPr>
        <b/>
        <sz val="11"/>
        <color theme="1"/>
        <rFont val="Aptos"/>
        <family val="2"/>
      </rPr>
      <t>(Excel Lampiran BSI BYOND - Tracking BSI)</t>
    </r>
  </si>
  <si>
    <t xml:space="preserve">1. Berhasil masuk ke menu Tele Survey
2. Validasi belum accept offer sudah sesuai
3. Berhasil proses accept offer
4. Berhasil masuk ke form Tele Survey
5. Berhasil klik button Detail Application dan informasi pada Tab Order Digital sudah sesuai
6. Berhasil input Tele Survey
7. Berhasil konfirmasi Tele Survey
8. Callback tracking BSI dan tracking order MASS sesuai
</t>
  </si>
  <si>
    <t>BYD002-07</t>
  </si>
  <si>
    <t>Proses return kontrak ke screening 3 pada menu KYC</t>
  </si>
  <si>
    <r>
      <t xml:space="preserve">1. Akses menu KYC
2. Klik button Detail Application pada KYC dan lakukan pengecekan informasi data pada Tab Order Digital
3. Lanjutkan proses inputan data pada KYC
4. Lakukan proses submit KYC Return to Screening 3
5. Cek callback actcode tracking BSI dan tracking order MASS
</t>
    </r>
    <r>
      <rPr>
        <b/>
        <sz val="11"/>
        <color theme="1"/>
        <rFont val="Aptos"/>
        <family val="2"/>
      </rPr>
      <t>(Excel Lampiran BSI BYOND - Tracking BSI)</t>
    </r>
  </si>
  <si>
    <t xml:space="preserve">1. Berhasil masuk ke menu KYC
2. Berhasil klik button Detail Application dan informasi pada Tab Order Digital sudah sesuai
3. Berhasil input KYC
4. Berhasil return to screening 3
5. Callback tracking BSI dan tracking order MASS sesuai
</t>
  </si>
  <si>
    <t>BYD002-08</t>
  </si>
  <si>
    <t>Melakukan proses pengecekan inquiry data</t>
  </si>
  <si>
    <r>
      <t xml:space="preserve">1. Akses menu CBAS MASS
2. Lakukan pengecekan inquiry data yang sudah terhit ke CBAS MASS
3. Cek callback actcode Tracking BSI pada database
</t>
    </r>
    <r>
      <rPr>
        <b/>
        <sz val="11"/>
        <color theme="1"/>
        <rFont val="Aptos"/>
        <family val="2"/>
      </rPr>
      <t>(Excel Lampiran BSI BYOND - Tracking BSI)</t>
    </r>
  </si>
  <si>
    <t>1. Berhasil akses menu CBAS MASS
2. Hasil inquiry pada CBAS MASS sudah sesuai
3. Callback actcode sudah sesuai</t>
  </si>
  <si>
    <t>BYD002-09</t>
  </si>
  <si>
    <t>Pengecekan dan lanjutkan proses data kontrak pada Credit Approval (CA)</t>
  </si>
  <si>
    <r>
      <t xml:space="preserve">1. Akses menu Credit Approval
2. Lakukan pengecekan informasi pada Tab Order Digital di CA
3. Lakukan proses RTRE pada tab Approval
4. Cek callback actcode tracking BSI dan tracking order MASS
</t>
    </r>
    <r>
      <rPr>
        <b/>
        <sz val="11"/>
        <color theme="1"/>
        <rFont val="Aptos"/>
        <family val="2"/>
      </rPr>
      <t>(Excel Lampiran BSI BYOND - Tracking BSI)</t>
    </r>
  </si>
  <si>
    <t>1. Berhasil masuk ke menu CA
2. Informasi pada Tab Order Digital sudah sesuai
3. Data kontrak berhasil masuk menu Approval Return
4. Callback tracking BSI dan tracking order MASS sesuai</t>
  </si>
  <si>
    <t>BYD002-10</t>
  </si>
  <si>
    <t>Pengecekan dan proses RTRE dengan kondisi tanggal di bawah tanggal 15</t>
  </si>
  <si>
    <t>1. Akses menu RTRE
2. Lakukan perubahan data ketika proses RTRE di bawah tanggal 15
3. Submit proses RTRE</t>
  </si>
  <si>
    <t>1. Berhasil akses menu RTRE
2. Data kontrak sesuai dan berhasil merubah data ketika proses RTRE di bawah tanggal 15
3. Berhasil submit proses RTRE</t>
  </si>
  <si>
    <t>BYD002-11</t>
  </si>
  <si>
    <r>
      <t xml:space="preserve">1. Akses menu CBAS Digital
2. Lakukan pengecekan data yang sudah terhit ke CBAS Digital di bawah tanggal 15 (Dedup)
3. Cek callback actcode Tracking BSI pada database
</t>
    </r>
    <r>
      <rPr>
        <b/>
        <sz val="11"/>
        <color theme="1"/>
        <rFont val="Aptos"/>
        <family val="2"/>
      </rPr>
      <t>(Excel Lampiran BSI BYOND - Tracking BSI)</t>
    </r>
  </si>
  <si>
    <t xml:space="preserve">1. Berhasil akses menu CBAS Digital
2. Hasil screening data pada CBAS Digital untuk Verifikasi Administrasi sudah sesuai di bawah tanggal 15 (Dedup)
3. Callback actcode sudah sesuai </t>
  </si>
  <si>
    <t>BYD002-12</t>
  </si>
  <si>
    <t>BYD002-13</t>
  </si>
  <si>
    <t>BYD002-14</t>
  </si>
  <si>
    <t>BYD002-15</t>
  </si>
  <si>
    <t>BYD002-16</t>
  </si>
  <si>
    <t>BYD002-17</t>
  </si>
  <si>
    <t>BYD003-01</t>
  </si>
  <si>
    <t>BYD003-02</t>
  </si>
  <si>
    <t>BYD003-03</t>
  </si>
  <si>
    <t>BYD003-04</t>
  </si>
  <si>
    <t>BYD003-05</t>
  </si>
  <si>
    <t>BYD003-06</t>
  </si>
  <si>
    <t>BYD003-07</t>
  </si>
  <si>
    <t>BYD003-08</t>
  </si>
  <si>
    <t>BYD003-09</t>
  </si>
  <si>
    <t>BYD003-10</t>
  </si>
  <si>
    <t>BYD003-11</t>
  </si>
  <si>
    <t>BYD003-12</t>
  </si>
  <si>
    <t>BYD004-01</t>
  </si>
  <si>
    <t>BYD004-02</t>
  </si>
  <si>
    <t>BYD004-03</t>
  </si>
  <si>
    <t>BYD004-04</t>
  </si>
  <si>
    <t>BYD004-05</t>
  </si>
  <si>
    <t>BYD004-06</t>
  </si>
  <si>
    <t>BYD004-07</t>
  </si>
  <si>
    <t>Proses inputan data pada KYC</t>
  </si>
  <si>
    <r>
      <t xml:space="preserve">1. Akses menu KYC
2. Klik button Detail Application pada KYC dan lakukan pengecekan informasi data pada Tab Order Digital
3. Lanjutkan proses inputan data pada KYC
4. Lakukan proses submit KYC
5. Cek callback actcode tracking BSI dan tracking order MASS
</t>
    </r>
    <r>
      <rPr>
        <b/>
        <sz val="11"/>
        <color theme="1"/>
        <rFont val="Aptos"/>
        <family val="2"/>
      </rPr>
      <t>(Excel Lampiran BSI BYOND - Tracking BSI)</t>
    </r>
  </si>
  <si>
    <t xml:space="preserve">1. Berhasil masuk ke menu KYC
2. Berhasil klik button Detail Application dan informasi pada Tab Order Digital sudah sesuai
3. Berhasil input KYC
4. Berhasil submit KYC
5. Callback tracking BSI dan tracking order MASS sesuai
</t>
  </si>
  <si>
    <t>BYD004-08</t>
  </si>
  <si>
    <t>BYD004-09</t>
  </si>
  <si>
    <t>BYD004-10</t>
  </si>
  <si>
    <t>BYD004-11</t>
  </si>
  <si>
    <t>BYD004-12</t>
  </si>
  <si>
    <t>BYD005-01</t>
  </si>
  <si>
    <t>BYD005-02</t>
  </si>
  <si>
    <t>BYD005-03</t>
  </si>
  <si>
    <t>BYD005-04</t>
  </si>
  <si>
    <t>1. Akses menu EFD
2. Proses lanjutkan inputan data
3. Lakukan pengecekan pada mapping submit order data terkait autofill data, penambahan field baru dan penambahan label baru
(Excel Lampiran BSI BYOND - Sheet Mapping Submit Order)
4. Konfirmasi EFD
5. Cek callback actcode tracking BSI dan tracking order MASS
(Excel Lampiran BSI BYOND - Tracking BSI)</t>
  </si>
  <si>
    <t>BYD005-05</t>
  </si>
  <si>
    <t>BYD005-06</t>
  </si>
  <si>
    <t>Proses actcode terima offer dan lanjutkan inputan data kontrak pada Reguler Survey</t>
  </si>
  <si>
    <t>1. Akses menu Reguler Survey
2. Cek validasi ketika BSI BYOND belum accept offer
3. Lakukan proses accept offer
4. Akses form Reguler Survey
5. Klik button Detail Application pada Reguler Survey dan lakukan pengecekan informasi data pada Tab Order Digital
6. lanjutkan proses inputan data pada Reguler Survey
7. Konfirmasi Reguler Survey
8. Cek callback actcode tracking BSI dan tracking order MASS
(Excel Lampiran BSI BYOND - Tracking BSI)</t>
  </si>
  <si>
    <t>BYD005-07</t>
  </si>
  <si>
    <t>BYD005-08</t>
  </si>
  <si>
    <t>BYD005-09</t>
  </si>
  <si>
    <t>BYD005-10</t>
  </si>
  <si>
    <t>BYD005-11</t>
  </si>
  <si>
    <t>BYD005-12</t>
  </si>
  <si>
    <t>BYD006-01</t>
  </si>
  <si>
    <t>BYD006-02</t>
  </si>
  <si>
    <t>BYD006-03</t>
  </si>
  <si>
    <t>BYD006-04</t>
  </si>
  <si>
    <t>BYD006-05</t>
  </si>
  <si>
    <t>BYD006-06</t>
  </si>
  <si>
    <t>BYD006-07</t>
  </si>
  <si>
    <t>BYD006-08</t>
  </si>
  <si>
    <t>BYD006-09</t>
  </si>
  <si>
    <t>BYD006-10</t>
  </si>
  <si>
    <t>1. Akses menu FDE
2. Lakukan pengecekan informasi pada Tab Order Digital di FDE
3. Lakukan request RTRE pada FDE
4. Konfirmasi RTRE pada FDE</t>
  </si>
  <si>
    <t>1. Berhasil masuk ke menu FDE
2. Informasi pada Tab Order Digital sudah sesuai
3. Proses request RTRE pada FDE berhasil
4. Berhasil konfirmasi RTRE pada FDE</t>
  </si>
  <si>
    <t>BYD006-11</t>
  </si>
  <si>
    <t>Melakukan proses approval data kontrak untuk proses RTRE</t>
  </si>
  <si>
    <t>1. Akses menu Approval Return
2. Lakukan proses approve data kontrak yang akan dilakukan RTRE</t>
  </si>
  <si>
    <t>1. Berhasil akses menu Approval Return
2. Berhasil proses approve data kontrak yang akan dilakukan RTRE</t>
  </si>
  <si>
    <t>BYD006-12</t>
  </si>
  <si>
    <r>
      <t xml:space="preserve">1. Akses menu RTRE
2. Lakukan perubahan data ketika proses RTRE di bawah tanggal 15
3. Submit proses RTRE
4. Cek callback actcode Tracking BSI pada database
</t>
    </r>
    <r>
      <rPr>
        <b/>
        <sz val="11"/>
        <color theme="1"/>
        <rFont val="Aptos"/>
        <family val="2"/>
      </rPr>
      <t>(Excel Lampiran BSI BYOND - Tracking BSI)</t>
    </r>
  </si>
  <si>
    <t xml:space="preserve">1. Berhasil akses menu RTRE
2. Data kontrak sesuai dan berhasil merubah data ketika proses RTRE di bawah tanggal 15
3. Berhasil submit proses RTRE
4. Callback actcode sudah sesuai </t>
  </si>
  <si>
    <t>BYD006-13</t>
  </si>
  <si>
    <t>Pengecekan Hasil Hit CBAS ketika Confirm RTRE</t>
  </si>
  <si>
    <t>1. Akses menu CBAS MASS
2. Lakukan pengecekan data yang sudah terhit ke CBAS MASS di bawah tanggal 15 (Dedup)</t>
  </si>
  <si>
    <t>1. Berhasil akses menu CBAS MASS
2. Hasil screening data pada CBAS Digital untuk Verifikasi Administrasi sudah sesuai di bawah tanggal 15 (Dedup)</t>
  </si>
  <si>
    <t>BYD006-14</t>
  </si>
  <si>
    <t>BYD006-15</t>
  </si>
  <si>
    <t>BYD006-16</t>
  </si>
  <si>
    <t>BYD006-17</t>
  </si>
  <si>
    <t>BYD006-18</t>
  </si>
  <si>
    <t>BYD006-19</t>
  </si>
  <si>
    <t>BYD007-01</t>
  </si>
  <si>
    <t>BYD007-02</t>
  </si>
  <si>
    <t>BYD007-03</t>
  </si>
  <si>
    <t>BYD007-04</t>
  </si>
  <si>
    <t>BYD007-05</t>
  </si>
  <si>
    <t>BYD007-06</t>
  </si>
  <si>
    <t>BYD007-07</t>
  </si>
  <si>
    <t>BYD007-08</t>
  </si>
  <si>
    <t>BYD007-09</t>
  </si>
  <si>
    <t>BYD007-10</t>
  </si>
  <si>
    <t>BYD007-11</t>
  </si>
  <si>
    <t>BYD007-12</t>
  </si>
  <si>
    <t>BYD008-01</t>
  </si>
  <si>
    <t>BYD008-02</t>
  </si>
  <si>
    <t>BYD008-03</t>
  </si>
  <si>
    <t>BYD008-04</t>
  </si>
  <si>
    <t>BYD008-05</t>
  </si>
  <si>
    <t>BYD008-06</t>
  </si>
  <si>
    <t>BYD008-07</t>
  </si>
  <si>
    <r>
      <t xml:space="preserve">1. Akses menu KYC
2. Klik button Detail Application pada KYC dan lakukan pengecekan informasi data pada Tab Order Digital
3. Lanjutkan proses inputan data pada KYC
4. Konfirmasi KYC
5. Cek callback actcode tracking BSI dan tracking order MASS
</t>
    </r>
    <r>
      <rPr>
        <b/>
        <sz val="11"/>
        <color theme="1"/>
        <rFont val="Aptos"/>
        <family val="2"/>
      </rPr>
      <t>(Excel Lampiran BSI BYOND - Tracking BSI)</t>
    </r>
  </si>
  <si>
    <t>1. Berhasil masuk ke menu KYC
2. Berhasil klik button Detail Application dan informasi pada Tab Order Digital sudah sesuai
3. Berhasil input KYC
4. Berhasil konfirmasi KYC
5. Callback tracking BSI dan tracking order MASS sesuai</t>
  </si>
  <si>
    <t>BYD008-08</t>
  </si>
  <si>
    <t>BYD008-09</t>
  </si>
  <si>
    <t>BYD008-10</t>
  </si>
  <si>
    <t>BYD008-11</t>
  </si>
  <si>
    <t>BYD008-12</t>
  </si>
  <si>
    <t>BYD009-01</t>
  </si>
  <si>
    <t>BYD009-02</t>
  </si>
  <si>
    <t>BYD009-03</t>
  </si>
  <si>
    <t>BYD009-04</t>
  </si>
  <si>
    <t>BYD009-05</t>
  </si>
  <si>
    <t>BYD009-06</t>
  </si>
  <si>
    <t>Proses actcode terima offer dan lanjutan inputan data kontrak pada Tele Survey</t>
  </si>
  <si>
    <t>BYD009-07</t>
  </si>
  <si>
    <t>BYD009-08</t>
  </si>
  <si>
    <t>BYD009-09</t>
  </si>
  <si>
    <t>BYD009-10</t>
  </si>
  <si>
    <t>Proses Return to Revise pada Menu Verifikasi Data</t>
  </si>
  <si>
    <r>
      <t xml:space="preserve">1. Akses menu Verdat
2. Lakukan proses Retun to RTRE pada Verdat
3. Cek callback actcode tracking BSI dan tracking order MASS
</t>
    </r>
    <r>
      <rPr>
        <b/>
        <sz val="11"/>
        <color theme="1"/>
        <rFont val="Aptos"/>
        <family val="2"/>
      </rPr>
      <t>(Excel Lampiran BSI BYOND - Tracking BSI)</t>
    </r>
  </si>
  <si>
    <t>1. Berhasil akses ke menu Verdat
2. Berhasil proses return to rtre
3. Callback tracking BSI dan tracking order MASS sesuai</t>
  </si>
  <si>
    <t>BYD009-11</t>
  </si>
  <si>
    <t>BYD009-12</t>
  </si>
  <si>
    <t>Pengecekan dan proses RTRE dengan kondisi tanggal diatas tanggal 15</t>
  </si>
  <si>
    <r>
      <t xml:space="preserve">1. Akses menu RTRE
2. Lakukan perubahan data pada RTRE
3. Submit proses RTRE diatas tanggal 15 untuk mendapatkan hasil screening terbaru
4. Cek callback actcode tracking BSI dan tracking order MASS
</t>
    </r>
    <r>
      <rPr>
        <b/>
        <sz val="11"/>
        <color theme="1"/>
        <rFont val="Aptos"/>
        <family val="2"/>
      </rPr>
      <t>(Excel Lampiran BSI BYOND - Tracking BSI)</t>
    </r>
  </si>
  <si>
    <t>1. Berhasil akses menu RTRE
2. Berhasil melakukan perubahan data kontrak
3. Berhasil submit RTRE diatas tanggal 15
4. Callback tracking BSI dan tracking order MASS sesuai</t>
  </si>
  <si>
    <t>BYD009-13</t>
  </si>
  <si>
    <t>1. Akses CBAS MASS
2. Lakukan pengecekan data yang dilakukan submit RTRE diatas tanggal 15
3. Pastikan CBAS hit data baru</t>
  </si>
  <si>
    <t>1. Berhasil akses menu CBAS Digital
2. Data berhasil tampil di CBAS
3. CBAS berhasil mendapatkan New SLIK</t>
  </si>
  <si>
    <t>BYD009-14</t>
  </si>
  <si>
    <t>BYD009-15</t>
  </si>
  <si>
    <t>BYD009-16</t>
  </si>
  <si>
    <t>BYD009-17</t>
  </si>
  <si>
    <t>BYD009-18</t>
  </si>
  <si>
    <t>BYD009-19</t>
  </si>
  <si>
    <t>BYD010-01</t>
  </si>
  <si>
    <t>BYD010-02</t>
  </si>
  <si>
    <t>BYD010-03</t>
  </si>
  <si>
    <t>BYD010-04</t>
  </si>
  <si>
    <t>BYD010-05</t>
  </si>
  <si>
    <t>BYD010-06</t>
  </si>
  <si>
    <t>BYD010-07</t>
  </si>
  <si>
    <t>BYD010-08</t>
  </si>
  <si>
    <t>BYD010-09</t>
  </si>
  <si>
    <t>BYD010-10</t>
  </si>
  <si>
    <t>BYD010-11</t>
  </si>
  <si>
    <t>BYD010-12</t>
  </si>
  <si>
    <t>BYD011-01</t>
  </si>
  <si>
    <t>BYD011-02</t>
  </si>
  <si>
    <t>BYD011-03</t>
  </si>
  <si>
    <t>BYD011-04</t>
  </si>
  <si>
    <t>BYD011-05</t>
  </si>
  <si>
    <t>BYD011-06</t>
  </si>
  <si>
    <t>BYD011-07</t>
  </si>
  <si>
    <t>BYD011-08</t>
  </si>
  <si>
    <t>BYD011-09</t>
  </si>
  <si>
    <t>BYD011-10</t>
  </si>
  <si>
    <t>BYD011-11</t>
  </si>
  <si>
    <t>BYD011-12</t>
  </si>
  <si>
    <t>BYD012-01</t>
  </si>
  <si>
    <t>BYD012-02</t>
  </si>
  <si>
    <t>BYD012-03</t>
  </si>
  <si>
    <t>BYD012-04</t>
  </si>
  <si>
    <t>BYD012-05</t>
  </si>
  <si>
    <t>BYD012-06</t>
  </si>
  <si>
    <r>
      <t xml:space="preserve">1. Akses menu Credit Approval
2. Lakukan pengecekan informasi pada Tab Order Digital di CA
3. Lakukan proses approval Return to Revise (RTRE)
4. Cek callback actcode tracking BSI dan tracking order MASS
</t>
    </r>
    <r>
      <rPr>
        <b/>
        <sz val="11"/>
        <color theme="1"/>
        <rFont val="Aptos"/>
        <family val="2"/>
      </rPr>
      <t>(Excel Lampiran BSI BYOND - Tracking BSI)</t>
    </r>
  </si>
  <si>
    <t>1. Berhasil masuk ke menu CA
2. Informasi pada Tab Order Digital sudah sesuai
3. Data kontrak berhasil dilakukan RTRE
4. Callback tracking BSI dan tracking order MASS sesuai</t>
  </si>
  <si>
    <t>BYD012-07</t>
  </si>
  <si>
    <t>Pengecekan dan proses RTRE</t>
  </si>
  <si>
    <t>1. Akses menu RTRE
2. Lakukan perubahan data ketika proses RTRE
3. Submit proses RTRE</t>
  </si>
  <si>
    <t>1. Berhasil akses menu RTRE
2. Data kontrak sesuai dan berhasil merubah data ketika proses RTRE
3. Berhasil submit proses RTRE</t>
  </si>
  <si>
    <t>BYD012-08</t>
  </si>
  <si>
    <t>Pengecekan dan lanjutan proses data kontrak pada Credit Approval (CA) setelah RTRE</t>
  </si>
  <si>
    <t>BYD012-09</t>
  </si>
  <si>
    <t>BYD012-10</t>
  </si>
  <si>
    <t>BYD012-11</t>
  </si>
  <si>
    <t>BYD012-12</t>
  </si>
  <si>
    <t>BYD012-13</t>
  </si>
  <si>
    <t>BYD015-01</t>
  </si>
  <si>
    <t>BYD015-02</t>
  </si>
  <si>
    <t>BYD015-03</t>
  </si>
  <si>
    <t>BYD015-04</t>
  </si>
  <si>
    <t>BYD015-05</t>
  </si>
  <si>
    <t>BYD015-06</t>
  </si>
  <si>
    <t xml:space="preserve">1. Berhasil masuk ke menu KYC
2. Berhasil klik button Detail Application dan informasi pada Tab Order Digital sudah sesuai
3. Berhasil input KYC
4. Berhasil konfirmasi KYC
5. Callback tracking BSI dan tracking order MASS sesuai
</t>
  </si>
  <si>
    <t>BYD015-07</t>
  </si>
  <si>
    <t>BYD015-08</t>
  </si>
  <si>
    <t>BYD015-09</t>
  </si>
  <si>
    <t>BYD015-10</t>
  </si>
  <si>
    <t>BYD015-11</t>
  </si>
  <si>
    <t>BYD016-01</t>
  </si>
  <si>
    <t>BYD016-02</t>
  </si>
  <si>
    <t>BYD016-03</t>
  </si>
  <si>
    <t>BYD016-04</t>
  </si>
  <si>
    <t>BYD016-05</t>
  </si>
  <si>
    <t>BYD016-06</t>
  </si>
  <si>
    <t>BYD016-07</t>
  </si>
  <si>
    <t>BYD016-08</t>
  </si>
  <si>
    <t>BYD016-09</t>
  </si>
  <si>
    <t>BYD016-10</t>
  </si>
  <si>
    <t>BYD016-11</t>
  </si>
  <si>
    <t>BYD017-01</t>
  </si>
  <si>
    <t>BYD017-02</t>
  </si>
  <si>
    <t>BYD017-03</t>
  </si>
  <si>
    <t>BYD017-04</t>
  </si>
  <si>
    <t>BYD017-05</t>
  </si>
  <si>
    <t>BYD017-06</t>
  </si>
  <si>
    <t>BYD017-07</t>
  </si>
  <si>
    <t>BYD017-08</t>
  </si>
  <si>
    <t>BYD017-09</t>
  </si>
  <si>
    <t>BYD017-10</t>
  </si>
  <si>
    <t>BYD017-11</t>
  </si>
  <si>
    <t>BYD018-01</t>
  </si>
  <si>
    <t>BYD018-02</t>
  </si>
  <si>
    <t>BYD018-03</t>
  </si>
  <si>
    <t>BYD019-01</t>
  </si>
  <si>
    <t>BYD019-02</t>
  </si>
  <si>
    <t>BYD019-03</t>
  </si>
  <si>
    <t>Proses RTRE pada Verifikasi Data</t>
  </si>
  <si>
    <t>1. Akses menu Verdat
2. Lakukan pengecekan informasi pada Tab Order Digital di Verdat
3. Lakukan request RTRE pada FDE
4. Konfirmasi RTRE pada FDE</t>
  </si>
  <si>
    <t>1. Berhasil akses ke menu Verdat
2. Informasi pada Tab Order Digital sudah sesuai
3.Proses request RTRE pada FDE berhasil
4 Berhasil konfirmasi RTRE pada FDE</t>
  </si>
  <si>
    <t>BYD021-01</t>
  </si>
  <si>
    <t>BYD021-02</t>
  </si>
  <si>
    <r>
      <t xml:space="preserve">1. Akses menu CBAS Digital
2. Lakukan pengecekan data yang sudah terhit ke CBAS Digital
3. Cek callback actcode Tracking BSI pada database
</t>
    </r>
    <r>
      <rPr>
        <b/>
        <sz val="11"/>
        <color theme="1"/>
        <rFont val="Aptos"/>
        <family val="2"/>
      </rPr>
      <t xml:space="preserve">(Excel Lampiran BSI BYOND - Tracking BSI)
</t>
    </r>
    <r>
      <rPr>
        <sz val="11"/>
        <color theme="1"/>
        <rFont val="Aptos"/>
        <family val="2"/>
      </rPr>
      <t>4. Pastikan kondisi hasil Final Screening adalah Not OK</t>
    </r>
  </si>
  <si>
    <t>1. Berhasil akses menu CBAS Digital
2. Hasil screening data pada CBAS Digital untuk Verifikasi Administrasi sudah sesuai
3. Callback actcode sudah sesuai
4. Final Screening sudah sesuai</t>
  </si>
  <si>
    <t>BYD021-03</t>
  </si>
  <si>
    <t>Melakukan pengecekan data kontrak sudah otomatis tercancel di EFD</t>
  </si>
  <si>
    <t>1. Akses menu EFD
2. Lakukan pencarian atas data kontrak yang sudah dibuat sebelumnya
3. Pastikan data kontrak sudah tercancel</t>
  </si>
  <si>
    <t>1. Berhasil akses menu EFD
2. Berhasil mendapatkan data kontrak
3. Data kontrak sudah tercancel</t>
  </si>
  <si>
    <t>BYD022-01</t>
  </si>
  <si>
    <t>BYD022-02</t>
  </si>
  <si>
    <t>BYD022-03</t>
  </si>
  <si>
    <t>Melakukan pengecekan data kontrak sudah otomatis ter-cancel pada EFD MASS</t>
  </si>
  <si>
    <t>1. Akses menu EFD
2. Lakukan pencarian atas data kontrak yang sudah dibuat sebelumnya
3. Pastikan data kontrak sudah ter-cancel</t>
  </si>
  <si>
    <t>1. Berhasil akses menu EFD
2. Berhasil mendapatkan data kontrak
3. Data kontrak sudah ter-cancel</t>
  </si>
  <si>
    <t>BYD023-01</t>
  </si>
  <si>
    <t>BYD023-02</t>
  </si>
  <si>
    <t>BYD023-03</t>
  </si>
  <si>
    <t>BYD024-01</t>
  </si>
  <si>
    <t>BYD024-02</t>
  </si>
  <si>
    <t>BYD024-03</t>
  </si>
  <si>
    <t>BYD025-01</t>
  </si>
  <si>
    <t>BYD025-02</t>
  </si>
  <si>
    <t>BYD026-01</t>
  </si>
  <si>
    <t>BYD026-02</t>
  </si>
  <si>
    <t>BYD026-03</t>
  </si>
  <si>
    <t>BYD027-01</t>
  </si>
  <si>
    <t>BYD027-02</t>
  </si>
  <si>
    <t>BYD027-03</t>
  </si>
  <si>
    <t>BYD028-01</t>
  </si>
  <si>
    <t>BYD028-02</t>
  </si>
  <si>
    <t>Melakukan proses cancel EFD</t>
  </si>
  <si>
    <r>
      <t xml:space="preserve">1. Akses Menu EFD
2. Lakukan proses cancel pada menu EFD
3. Cek callback actcode Tracking BSI pada database
</t>
    </r>
    <r>
      <rPr>
        <b/>
        <sz val="11"/>
        <color theme="1"/>
        <rFont val="Aptos"/>
        <family val="2"/>
      </rPr>
      <t>(Excel Lampiran BSI BYOND - Tracking BSI)</t>
    </r>
  </si>
  <si>
    <t>1. Berhasil akses Menu EFD
2. Berhasil proses cancel EFD
3. Callback actcode sudah sesuai</t>
  </si>
  <si>
    <t>BYD029-01</t>
  </si>
  <si>
    <t>BYD029-02</t>
  </si>
  <si>
    <t>Proses inputan data pada EFD</t>
  </si>
  <si>
    <t>1. Akses Menu EFD
2. Lakukan inputan sampai konfirmasi pada menu EFD</t>
  </si>
  <si>
    <t>1. Berhasil akses menu EFD
2. Berhasil konfirmasi inputan EFD</t>
  </si>
  <si>
    <t>BYD029-03</t>
  </si>
  <si>
    <t>Proses Cancel &amp; Reject pada To Do List SC2</t>
  </si>
  <si>
    <r>
      <t xml:space="preserve">1. Akses menu To do List SC2
2. Pilih button Cancellation
3. Lakukan proses Cancel &amp; Reject data kontrak
4. Cek callback actcode Tracking BSI pada database
</t>
    </r>
    <r>
      <rPr>
        <b/>
        <sz val="11"/>
        <color theme="1"/>
        <rFont val="Aptos"/>
        <family val="2"/>
      </rPr>
      <t>(Excel Lampiran BSI BYOND - Tracking BSI)</t>
    </r>
    <r>
      <rPr>
        <sz val="11"/>
        <color theme="1"/>
        <rFont val="Aptos"/>
        <family val="2"/>
      </rPr>
      <t xml:space="preserve">
</t>
    </r>
  </si>
  <si>
    <t>1. Berhasil akses menu To do List SC2
2. Berhasil pilih button
3. Berhasil melakukan proses cancel &amp; reject
3. Callback actcode sudah sesuai</t>
  </si>
  <si>
    <t>BYD030-01</t>
  </si>
  <si>
    <t>BYD030-02</t>
  </si>
  <si>
    <t>BYD030-03</t>
  </si>
  <si>
    <t>Proses inputan data pada Screening 2</t>
  </si>
  <si>
    <t>1. Akses menu Data Entry Screening 2
2. Lakukan inputan sampai konfirmasi pada Screening 2</t>
  </si>
  <si>
    <t>1. Berhasil akses menu EFD
2. Berhasil konfirmasi inputan Screening 2</t>
  </si>
  <si>
    <t>BYD030-04</t>
  </si>
  <si>
    <t>Proses Cancel Tele Survey</t>
  </si>
  <si>
    <r>
      <t xml:space="preserve">1. Akses menu Tele Survey
2. Lakukan proses cancel pada Tele Survey
3. Cek callback actcode Tracking BSI pada database
</t>
    </r>
    <r>
      <rPr>
        <b/>
        <sz val="11"/>
        <color theme="1"/>
        <rFont val="Aptos"/>
        <family val="2"/>
      </rPr>
      <t>(Excel Lampiran BSI BYOND - Tracking BSI)</t>
    </r>
  </si>
  <si>
    <t>1. Berhasil akses menu Tele Survey
2. Berhasil proses cancel Tele Survey
3. Callback actcode sudah sesuai</t>
  </si>
  <si>
    <t>BYD031-01</t>
  </si>
  <si>
    <t>BYD031-02</t>
  </si>
  <si>
    <t>BYD031-03</t>
  </si>
  <si>
    <t>1. Berhasil akses menu Screening 2
2. Berhasil konfirmasi inputan Screening 2</t>
  </si>
  <si>
    <t>BYD031-04</t>
  </si>
  <si>
    <t>Proses Cancel Reguler Survey</t>
  </si>
  <si>
    <r>
      <t xml:space="preserve">1. Akses menu Reguler Survey
2. Lakukan proses cancel pada Reguler Survey
3. Cek callback actcode Tracking BSI pada database
</t>
    </r>
    <r>
      <rPr>
        <b/>
        <sz val="11"/>
        <color theme="1"/>
        <rFont val="Aptos"/>
        <family val="2"/>
      </rPr>
      <t>(Excel Lampiran BSI BYOND - Tracking BSI)</t>
    </r>
  </si>
  <si>
    <t>1. Berhasil akses menu Reguler Survey
2. Berhasil proses cancel Reguler Survey
3. Callback actcode sudah sesuai</t>
  </si>
  <si>
    <t>BYD032-01</t>
  </si>
  <si>
    <t>BYD032-02</t>
  </si>
  <si>
    <t>BYD032-03</t>
  </si>
  <si>
    <t>Proses inputan data pada Tele Survey</t>
  </si>
  <si>
    <t>1. Akses menu Tele Survey
2. Lakukan inputan sampai konfirmasi pada Tele Survey</t>
  </si>
  <si>
    <t>1. Berhasil akses menu Tele Survey
2. Berhasil konfirmasi inputan Tele Survey</t>
  </si>
  <si>
    <t>Proses Cancel KYC</t>
  </si>
  <si>
    <r>
      <t xml:space="preserve">1. Akses menu KYC
2. Lakukan proses cancel pada KYC
3. Cek callback actcode Tracking BSI pada database
</t>
    </r>
    <r>
      <rPr>
        <b/>
        <sz val="11"/>
        <color theme="1"/>
        <rFont val="Aptos"/>
        <family val="2"/>
      </rPr>
      <t>(Excel Lampiran BSI BYOND - Tracking BSI)</t>
    </r>
  </si>
  <si>
    <t>1. Berhasil akses menu KYC
2. Berhasil proses cancel KYC
3. Callback actcode sudah sesuai</t>
  </si>
  <si>
    <t>BYD033-01</t>
  </si>
  <si>
    <t>BYD033-02</t>
  </si>
  <si>
    <t>BYD033-03</t>
  </si>
  <si>
    <t>BYD033-04</t>
  </si>
  <si>
    <t>Proses inputan data pada Reguler Survey</t>
  </si>
  <si>
    <t>1. Akses menu Reguler Survey
2. Lakukan inputan sampai konfirmasi pada Reguler Survey</t>
  </si>
  <si>
    <t>1. Berhasil akses menu Reguler Survey
2. Berhasil konfirmasi inputan Reguler Survey</t>
  </si>
  <si>
    <t>Proses Cancel &amp; Reject CA</t>
  </si>
  <si>
    <r>
      <t xml:space="preserve">1. Akses menu CA
2. Lakukan proses cancel &amp; reject pada CA
3. Cek callback actcode Tracking BSI pada database
</t>
    </r>
    <r>
      <rPr>
        <b/>
        <sz val="11"/>
        <color theme="1"/>
        <rFont val="Aptos"/>
        <family val="2"/>
      </rPr>
      <t>(Excel Lampiran BSI BYOND - Tracking BSI)</t>
    </r>
  </si>
  <si>
    <t>1. Berhasil akses menu CA
2. Berhasil proses cancel &amp; reject CA
3. Callback actcode sudah sesuai</t>
  </si>
  <si>
    <t>BYD034-01</t>
  </si>
  <si>
    <t>BYD034-02</t>
  </si>
  <si>
    <t>BYD034-03</t>
  </si>
  <si>
    <t>BYD034-04</t>
  </si>
  <si>
    <t>BYD034-05</t>
  </si>
  <si>
    <t>1. Akses menu KYC
2. Lakukan inputan sampai konfirmasi pada KYC</t>
  </si>
  <si>
    <t>1. Berhasil akses menu KYC
2. Berhasil konfirmasi inputan KYC</t>
  </si>
  <si>
    <t>Proses Cancel CL</t>
  </si>
  <si>
    <r>
      <t xml:space="preserve">1. Akses menu CL
2. Lakukan proses cancel CL
3. Cek callback actcode Tracking BSI pada database
</t>
    </r>
    <r>
      <rPr>
        <b/>
        <sz val="11"/>
        <color theme="1"/>
        <rFont val="Aptos"/>
        <family val="2"/>
      </rPr>
      <t>(Excel Lampiran BSI BYOND - Tracking BSI)</t>
    </r>
  </si>
  <si>
    <t>1. Berhasil akses menu CL
2. Berhasil proses cancel CL
3. Callback actcode sudah sesuai</t>
  </si>
  <si>
    <t>BYD035-01</t>
  </si>
  <si>
    <t>BYD035-02</t>
  </si>
  <si>
    <t>1. Akses Menu EFD
2. Lakukan inputan sampai konfirmasi pada menu EFD dengan kondisi Date of Birth (DOB Debitur) &lt; 21 Tahun kondisi Single</t>
  </si>
  <si>
    <t>BYD035-03</t>
  </si>
  <si>
    <t>Data kontrak terkena Auto Reject setelah Konfirmasi EFD (Screening 1)</t>
  </si>
  <si>
    <r>
      <t xml:space="preserve">1. Akses Menu Tracking Order
2. Lakukan pengecekan hasil status Screening 1
3. Cek callback actcode Tracking BSI pada database
</t>
    </r>
    <r>
      <rPr>
        <b/>
        <sz val="11"/>
        <color theme="1"/>
        <rFont val="Aptos"/>
        <family val="2"/>
      </rPr>
      <t>(Excel Lampiran BSI BYOND - Tracking BSI)</t>
    </r>
  </si>
  <si>
    <t>1. Berhasil akses Tracking Order
2. Hasil Screening 1 sudah Auto Reject
3. Callback actcode sudah sesuai</t>
  </si>
  <si>
    <t>BYD036-01</t>
  </si>
  <si>
    <t>BYD036-02</t>
  </si>
  <si>
    <t>BYD036-03</t>
  </si>
  <si>
    <t>1. Akses menu Data Entry Screening 2
2. Lakukan inputan sampai konfirmasi pada Screening 2 dengan kondisi Date of Birth (DOB Debitur) &lt; 21 Tahun kondisi Single</t>
  </si>
  <si>
    <t>BYD036-04</t>
  </si>
  <si>
    <t>Data kontrak terkena Auto Reject setelah Konfirmasi Data Entry SC2</t>
  </si>
  <si>
    <r>
      <t xml:space="preserve">1. Akses Menu Tracking Order
2. Lakukan pengecekan hasil status Screening 2
3. Cek callback actcode Tracking BSI pada database
</t>
    </r>
    <r>
      <rPr>
        <b/>
        <sz val="11"/>
        <color theme="1"/>
        <rFont val="Aptos"/>
        <family val="2"/>
      </rPr>
      <t>(Excel Lampiran BSI BYOND - Tracking BSI)</t>
    </r>
  </si>
  <si>
    <t>1. Berhasil akses Tracking Order
2. Hasil Screening 2 sudah Auto Reject
3. Callback actcode sudah sesuai</t>
  </si>
  <si>
    <t>BYD037-01</t>
  </si>
  <si>
    <t>BYD037-02</t>
  </si>
  <si>
    <t>BYD037-03</t>
  </si>
  <si>
    <t>BYD037-04</t>
  </si>
  <si>
    <t>1. Akses menu Data Entry Screening 2
2. Lakukan inputan sampai konfirmasi pada Reguler Survey</t>
  </si>
  <si>
    <t>1. Berhasil akses menu Screening 2
2. Berhasil konfirmasi inputan Reguler Survey</t>
  </si>
  <si>
    <t>Data kontrak tidak terkena Auto Reject setelah Konfimasi Reguler Survey</t>
  </si>
  <si>
    <r>
      <t xml:space="preserve">1. Akses Menu Tracking Order
2. Lakukan pengecekan hasil status Screening 3
3. Cek callback actcode Tracking BSI pada database
</t>
    </r>
    <r>
      <rPr>
        <b/>
        <sz val="11"/>
        <color theme="1"/>
        <rFont val="Aptos"/>
        <family val="2"/>
      </rPr>
      <t>(Excel Lampiran BSI BYOND - Tracking BSI)</t>
    </r>
  </si>
  <si>
    <t>1. Berhasil akses Tracking Order
2. Hasil Screening 3 tidak Auto Reject
3. Callback actcode sudah sesuai</t>
  </si>
  <si>
    <t>BYD038-01</t>
  </si>
  <si>
    <t>BYD038-02</t>
  </si>
  <si>
    <t>BYD038-03</t>
  </si>
  <si>
    <t>BYD038-04</t>
  </si>
  <si>
    <t>Proses actcode tolak offer pada Reguler Survey</t>
  </si>
  <si>
    <r>
      <t xml:space="preserve">1. Akses menu Reguler Survey
2. Cek validasi ketika BSI BYOND belum accept offer
3. Lakukan proses tolak offer
4. Cek callback actcode tracking BSI dan tracking order MASS
</t>
    </r>
    <r>
      <rPr>
        <b/>
        <sz val="11"/>
        <color theme="1"/>
        <rFont val="Aptos"/>
        <family val="2"/>
      </rPr>
      <t>(Excel Lampiran BSI BYOND - Tracking BSI)</t>
    </r>
  </si>
  <si>
    <t>1. Berhasil masuk ke menu Reguler Survey
2. Validasi belum accept offer sudah sesuai
3. Berhasil proses tolak offer
4. Callback tracking BSI dan tracking order MASS sesuai</t>
  </si>
  <si>
    <t>Proses actcode expired offer pada Reguler Survey</t>
  </si>
  <si>
    <r>
      <t xml:space="preserve">1. Akses menu Reguler Survey
2. Cek validasi ketika BSI BYOND belum accept offer
3. Lakukan proses expired offer (3 x 24 jam)
4. Cek callback actcode tracking BSI dan tracking order MASS
</t>
    </r>
    <r>
      <rPr>
        <b/>
        <sz val="11"/>
        <color theme="1"/>
        <rFont val="Aptos"/>
        <family val="2"/>
      </rPr>
      <t>(Excel Lampiran BSI BYOND - Tracking BSI)</t>
    </r>
  </si>
  <si>
    <t>1. Berhasil masuk ke menu Reguler Survey
2. Validasi belum accept offer sudah sesuai
3. Berhasil proses expired offer
4. Callback tracking BSI dan tracking order MASS sesuai</t>
  </si>
  <si>
    <t>Proses actcode tolak offer pada Tele Survey</t>
  </si>
  <si>
    <r>
      <t xml:space="preserve">1. Akses menu Tele Survey
2. Cek validasi ketika BSI BYOND belum accept offer
3. Lakukan proses tolak offer
4. Cek callback actcode tracking BSI dan tracking order MASS
</t>
    </r>
    <r>
      <rPr>
        <b/>
        <sz val="11"/>
        <color theme="1"/>
        <rFont val="Aptos"/>
        <family val="2"/>
      </rPr>
      <t>(Excel Lampiran BSI BYOND - Tracking BSI)</t>
    </r>
  </si>
  <si>
    <t>1. Berhasil masuk ke menu Tele Survey
2. Validasi belum accept offer sudah sesuai
3. Berhasil proses tolak offer
4. Callback tracking BSI dan tracking order MASS sesuai</t>
  </si>
  <si>
    <t>Proses actcode expired offer pada Tele Survey</t>
  </si>
  <si>
    <r>
      <t xml:space="preserve">1. Akses menu Tele Survey
2. Cek validasi ketika BSI BYOND belum accept offer
3. Lakukan proses expired offer (3 x 24 jam)
4. Cek callback actcode tracking BSI dan tracking order MASS
</t>
    </r>
    <r>
      <rPr>
        <b/>
        <sz val="11"/>
        <color theme="1"/>
        <rFont val="Aptos"/>
        <family val="2"/>
      </rPr>
      <t>(Excel Lampiran BSI BYOND - Tracking BSI)</t>
    </r>
  </si>
  <si>
    <t>1. Berhasil masuk ke menu Tele Survey
2. Validasi belum accept offer sudah sesuai
3. Berhasil proses expired offer
4. Callback tracking BSI dan tracking order MASS sesuai</t>
  </si>
  <si>
    <t>UAT Sign Off</t>
  </si>
  <si>
    <t>Membuat dokumen UAT Sign Off &amp; Demo UAT</t>
  </si>
  <si>
    <t>Retest Merging</t>
  </si>
  <si>
    <t>Re-Test beberapa Test Cases Positif setelah proses merging dilakukan</t>
  </si>
  <si>
    <t>Scenario ID</t>
  </si>
  <si>
    <t>Total Task</t>
  </si>
  <si>
    <t>Task Done</t>
  </si>
  <si>
    <t>Status</t>
  </si>
  <si>
    <t>Notes</t>
  </si>
  <si>
    <t>Aplikasi/Modul</t>
  </si>
  <si>
    <t>Keterangan Issue</t>
  </si>
  <si>
    <t>Rootcause</t>
  </si>
  <si>
    <t>Category Issue</t>
  </si>
  <si>
    <t>Severity</t>
  </si>
  <si>
    <t>Link Jira</t>
  </si>
  <si>
    <t>PIC OPR</t>
  </si>
  <si>
    <t>PIC Dev</t>
  </si>
  <si>
    <t>Issue Start</t>
  </si>
  <si>
    <t>Issue Solved</t>
  </si>
  <si>
    <t>Ready To Testing (Y/N)</t>
  </si>
  <si>
    <t>Tgl Retest</t>
  </si>
  <si>
    <t>Hasil Retest</t>
  </si>
  <si>
    <t>Keterangan</t>
  </si>
  <si>
    <t>Panduan Penggunaan Template RTM</t>
  </si>
  <si>
    <t>Tujuan: RTM menautkan setiap requirement ke test scenario/test case, hasil uji, dan defect sehingga cakupan pengujian dapat dipastikan dan audit trail terjaga.</t>
  </si>
  <si>
    <t>Langkah pemakaian:</t>
  </si>
  <si>
    <t>1) Isi kolom Req ID, Deskripsi, Tipe, Prioritas, Sumber, Versi, dan Owner.</t>
  </si>
  <si>
    <t>2) Mapping ke artefak: Modul/Komponen dan Link ke Dokumen Desain (FS/TS).</t>
  </si>
  <si>
    <t>3) Buat/isi Test Scenario ID dan Test Case ID; cantumkan Referensi Data Uji.</t>
  </si>
  <si>
    <t>4) Tentukan Siklus Uji (SIT/UAT) dan update Status Pengujian setiap eksekusi.</t>
  </si>
  <si>
    <t>5) Jika ada kegagalan, isi Defect ID, Severity, Status Defect, dan catatan hasil uji.</t>
  </si>
  <si>
    <t>6) Update Coverage Status (Covered/Partial/Gap) untuk memantau kekosongan cakupan.</t>
  </si>
  <si>
    <t>7) Untuk NFR, isi Jenis NFR (mis. Performance/Security) dan Target MetriK (mis. p95 ≤ 2s).</t>
  </si>
  <si>
    <t>8) Update Tanggal dan PIC Update setiap perubahan; catat Baseline/Change Log bila ada CR.</t>
  </si>
  <si>
    <t>Tips:</t>
  </si>
  <si>
    <t>- Gunakan filter di baris header untuk menyaring requirement tertentu.</t>
  </si>
  <si>
    <t>- Warna otomatis membantu menonjolkan Pass/Fail/Blocked, Coverage, dan Severity.</t>
  </si>
  <si>
    <t>- Lihat sheet Lookup untuk mengubah/memenyesuaikan nilai dropdown sesuai standar tim.</t>
  </si>
  <si>
    <t>Dashboard terisi otomatis berdasarkan data di RTM (baris 2–1000).</t>
  </si>
  <si>
    <t>Tipe Requirement</t>
  </si>
  <si>
    <t>Prioritas</t>
  </si>
  <si>
    <t>Sumber</t>
  </si>
  <si>
    <t>Siklus Uji</t>
  </si>
  <si>
    <t>Status Pengujian</t>
  </si>
  <si>
    <t>Severity Defect</t>
  </si>
  <si>
    <t>Status Defect</t>
  </si>
  <si>
    <t>Coverage Status</t>
  </si>
  <si>
    <t>Jenis NFR</t>
  </si>
  <si>
    <t>BR - Bisnis</t>
  </si>
  <si>
    <t>Must have</t>
  </si>
  <si>
    <t>BRD</t>
  </si>
  <si>
    <t>SIT1</t>
  </si>
  <si>
    <t>Not Run</t>
  </si>
  <si>
    <t>Critical</t>
  </si>
  <si>
    <t>Open</t>
  </si>
  <si>
    <t>Covered</t>
  </si>
  <si>
    <t>Performance</t>
  </si>
  <si>
    <t>FR - Fungsional</t>
  </si>
  <si>
    <t>Should have</t>
  </si>
  <si>
    <t>FRD</t>
  </si>
  <si>
    <t>SIT2</t>
  </si>
  <si>
    <t>Pass</t>
  </si>
  <si>
    <t>High</t>
  </si>
  <si>
    <t>In Progress</t>
  </si>
  <si>
    <t>Partial</t>
  </si>
  <si>
    <t>Security</t>
  </si>
  <si>
    <t>NFR - Non-Fungsional</t>
  </si>
  <si>
    <t>Could have</t>
  </si>
  <si>
    <t>CR</t>
  </si>
  <si>
    <t>SIT3</t>
  </si>
  <si>
    <t>Fail</t>
  </si>
  <si>
    <t>Medium</t>
  </si>
  <si>
    <t>Fixed</t>
  </si>
  <si>
    <t>Gap</t>
  </si>
  <si>
    <t>Reliability</t>
  </si>
  <si>
    <t>Regulatory/Compliance</t>
  </si>
  <si>
    <t>Won't have</t>
  </si>
  <si>
    <t>Regulasi</t>
  </si>
  <si>
    <t>UAT1</t>
  </si>
  <si>
    <t>Blocked</t>
  </si>
  <si>
    <t>Low</t>
  </si>
  <si>
    <t>Verified</t>
  </si>
  <si>
    <t>Availability</t>
  </si>
  <si>
    <t>RFC</t>
  </si>
  <si>
    <t>UAT2</t>
  </si>
  <si>
    <t>Trivial</t>
  </si>
  <si>
    <t>Closed</t>
  </si>
  <si>
    <t>Maintainability</t>
  </si>
  <si>
    <t>User Story</t>
  </si>
  <si>
    <t>Regression</t>
  </si>
  <si>
    <t>Deferred</t>
  </si>
  <si>
    <t>Compatibility</t>
  </si>
  <si>
    <t>Epic</t>
  </si>
  <si>
    <t>Smoke</t>
  </si>
  <si>
    <t>Rejected</t>
  </si>
  <si>
    <t>Usability</t>
  </si>
  <si>
    <t>Duplicate</t>
  </si>
  <si>
    <t>Scalability</t>
  </si>
  <si>
    <t>Compliance</t>
  </si>
  <si>
    <t>Req ID</t>
  </si>
  <si>
    <t>Deskripsi Requirement</t>
  </si>
  <si>
    <t>Versi Requirement</t>
  </si>
  <si>
    <t>Owner Requirement</t>
  </si>
  <si>
    <t>Modul/Komponen</t>
  </si>
  <si>
    <t>Link ke Dokumen Desain (FS/TS)</t>
  </si>
  <si>
    <t>Test Scenario ID</t>
  </si>
  <si>
    <t>Referensi Data Uji</t>
  </si>
  <si>
    <t>Catatan Hasil Uji</t>
  </si>
  <si>
    <t>Defect ID</t>
  </si>
  <si>
    <t>Tanggal Update</t>
  </si>
  <si>
    <t>PIC Update</t>
  </si>
  <si>
    <t>Baseline/Change Log</t>
  </si>
  <si>
    <t>Risiko/Impact</t>
  </si>
  <si>
    <t>Target NFR/MetriK</t>
  </si>
  <si>
    <t>REQ001</t>
  </si>
  <si>
    <t>v1.0</t>
  </si>
  <si>
    <t>REQ002</t>
  </si>
  <si>
    <t>REQ003</t>
  </si>
  <si>
    <t>REQ004</t>
  </si>
  <si>
    <t>REQ005</t>
  </si>
  <si>
    <t>REQ006</t>
  </si>
  <si>
    <t>REQ007</t>
  </si>
  <si>
    <t>REQ008</t>
  </si>
  <si>
    <t>REQ009</t>
  </si>
  <si>
    <t>REQ010</t>
  </si>
  <si>
    <t>REQ011</t>
  </si>
  <si>
    <t>REQ012</t>
  </si>
  <si>
    <t>REQ013</t>
  </si>
  <si>
    <t>REQ014</t>
  </si>
  <si>
    <t>REQ015</t>
  </si>
  <si>
    <t>REQ016</t>
  </si>
  <si>
    <t>REQ017</t>
  </si>
  <si>
    <t>REQ018</t>
  </si>
  <si>
    <t>REQ019</t>
  </si>
  <si>
    <t>REQ020</t>
  </si>
  <si>
    <t>REQ021</t>
  </si>
  <si>
    <t>REQ022</t>
  </si>
  <si>
    <t>REQ023</t>
  </si>
  <si>
    <t>REQ024</t>
  </si>
  <si>
    <t>REQ025</t>
  </si>
  <si>
    <t>REQ026</t>
  </si>
  <si>
    <t>REQ027</t>
  </si>
  <si>
    <t>REQ028</t>
  </si>
  <si>
    <t>REQ029</t>
  </si>
  <si>
    <t>REQ030</t>
  </si>
  <si>
    <t>REQ031</t>
  </si>
  <si>
    <t>REQ032</t>
  </si>
  <si>
    <t>REQ033</t>
  </si>
  <si>
    <t>REQ034</t>
  </si>
  <si>
    <t>REQ035</t>
  </si>
  <si>
    <t>REQ036</t>
  </si>
  <si>
    <t>REQ037</t>
  </si>
  <si>
    <t>REQ038</t>
  </si>
  <si>
    <t>REQ039</t>
  </si>
  <si>
    <t>REQ040</t>
  </si>
  <si>
    <t>REQ041</t>
  </si>
  <si>
    <t>REQ042</t>
  </si>
  <si>
    <t>REQ043</t>
  </si>
  <si>
    <t>REQ044</t>
  </si>
  <si>
    <t>REQ045</t>
  </si>
  <si>
    <t>REQ046</t>
  </si>
  <si>
    <t>REQ047</t>
  </si>
  <si>
    <t>REQ048</t>
  </si>
  <si>
    <t>REQ049</t>
  </si>
  <si>
    <t>REQ050</t>
  </si>
  <si>
    <t>REQ051</t>
  </si>
  <si>
    <t>REQ052</t>
  </si>
  <si>
    <t>REQ053</t>
  </si>
  <si>
    <t>REQ054</t>
  </si>
  <si>
    <t>REQ055</t>
  </si>
  <si>
    <t>REQ056</t>
  </si>
  <si>
    <t>REQ057</t>
  </si>
  <si>
    <t>REQ058</t>
  </si>
  <si>
    <t>REQ059</t>
  </si>
  <si>
    <t>REQ060</t>
  </si>
  <si>
    <t>REQ061</t>
  </si>
  <si>
    <t>REQ062</t>
  </si>
  <si>
    <t>REQ063</t>
  </si>
  <si>
    <t>REQ064</t>
  </si>
  <si>
    <t>REQ065</t>
  </si>
  <si>
    <t>REQ066</t>
  </si>
  <si>
    <t>REQ067</t>
  </si>
  <si>
    <t>REQ068</t>
  </si>
  <si>
    <t>REQ069</t>
  </si>
  <si>
    <t>REQ070</t>
  </si>
  <si>
    <t>REQ071</t>
  </si>
  <si>
    <t>REQ072</t>
  </si>
  <si>
    <t>REQ073</t>
  </si>
  <si>
    <t>REQ074</t>
  </si>
  <si>
    <t>REQ075</t>
  </si>
  <si>
    <t>REQ076</t>
  </si>
  <si>
    <t>REQ077</t>
  </si>
  <si>
    <t>REQ078</t>
  </si>
  <si>
    <t>REQ079</t>
  </si>
  <si>
    <t>REQ080</t>
  </si>
  <si>
    <t>REQ081</t>
  </si>
  <si>
    <t>REQ082</t>
  </si>
  <si>
    <t>REQ083</t>
  </si>
  <si>
    <t>REQ084</t>
  </si>
  <si>
    <t>REQ085</t>
  </si>
  <si>
    <t>REQ086</t>
  </si>
  <si>
    <t>REQ087</t>
  </si>
  <si>
    <t>REQ088</t>
  </si>
  <si>
    <t>REQ089</t>
  </si>
  <si>
    <t>REQ090</t>
  </si>
  <si>
    <t>REQ091</t>
  </si>
  <si>
    <t>REQ092</t>
  </si>
  <si>
    <t>REQ093</t>
  </si>
  <si>
    <t>REQ094</t>
  </si>
  <si>
    <t>REQ095</t>
  </si>
  <si>
    <t>REQ096</t>
  </si>
  <si>
    <t>REQ097</t>
  </si>
  <si>
    <t>REQ098</t>
  </si>
  <si>
    <t>REQ099</t>
  </si>
  <si>
    <t>REQ100</t>
  </si>
  <si>
    <t>REQ101</t>
  </si>
  <si>
    <t>REQ102</t>
  </si>
  <si>
    <t>REQ103</t>
  </si>
  <si>
    <t>REQ104</t>
  </si>
  <si>
    <t>REQ105</t>
  </si>
  <si>
    <t>REQ106</t>
  </si>
  <si>
    <t>REQ107</t>
  </si>
  <si>
    <t>REQ108</t>
  </si>
  <si>
    <t>REQ109</t>
  </si>
  <si>
    <t>REQ110</t>
  </si>
  <si>
    <t>REQ111</t>
  </si>
  <si>
    <t>REQ112</t>
  </si>
  <si>
    <t>REQ113</t>
  </si>
  <si>
    <t>REQ114</t>
  </si>
  <si>
    <t>REQ115</t>
  </si>
  <si>
    <t>REQ116</t>
  </si>
  <si>
    <t>REQ117</t>
  </si>
  <si>
    <t>REQ118</t>
  </si>
  <si>
    <t>REQ119</t>
  </si>
  <si>
    <t>REQ120</t>
  </si>
  <si>
    <t>REQ121</t>
  </si>
  <si>
    <t>REQ122</t>
  </si>
  <si>
    <t>REQ123</t>
  </si>
  <si>
    <t>REQ124</t>
  </si>
  <si>
    <t>REQ125</t>
  </si>
  <si>
    <t>REQ126</t>
  </si>
  <si>
    <t>REQ127</t>
  </si>
  <si>
    <t>REQ128</t>
  </si>
  <si>
    <t>REQ129</t>
  </si>
  <si>
    <t>REQ130</t>
  </si>
  <si>
    <t>REQ131</t>
  </si>
  <si>
    <t>REQ132</t>
  </si>
  <si>
    <t>REQ133</t>
  </si>
  <si>
    <t>REQ134</t>
  </si>
  <si>
    <t>REQ135</t>
  </si>
  <si>
    <t>Dashboard RTM - Otomatis</t>
  </si>
  <si>
    <t>Total Requirement</t>
  </si>
  <si>
    <t>Ter-mapping ke Test Case</t>
  </si>
  <si>
    <t>Mapping Coverage %</t>
  </si>
  <si>
    <t>Pass Rate % (Executed)</t>
  </si>
  <si>
    <t>Defect Open Critical/High</t>
  </si>
  <si>
    <t>Requirement tanpa Test Case</t>
  </si>
  <si>
    <t>Ringkasan Coverage</t>
  </si>
  <si>
    <t>Jumlah</t>
  </si>
  <si>
    <t>Ringkasan Status Pengujian</t>
  </si>
  <si>
    <t>Defect berdasarkan Severity</t>
  </si>
  <si>
    <t>Catatan: Semua metrik menggunakan rentang RTM baris 2–1000. Ubah jika diperlukan.</t>
  </si>
  <si>
    <t>KPI Gating SIT</t>
  </si>
  <si>
    <t>Kriteria</t>
  </si>
  <si>
    <t>Target</t>
  </si>
  <si>
    <t>Nilai Saat Ini</t>
  </si>
  <si>
    <t>Coverage ter-mapping ke Test Case</t>
  </si>
  <si>
    <t>&gt;= 100%</t>
  </si>
  <si>
    <t>Pass Rate (executed)</t>
  </si>
  <si>
    <t>&gt;= 95%</t>
  </si>
  <si>
    <t>Critical/High defect OPEN/IN PROGRESS</t>
  </si>
  <si>
    <t>Keputusan SIT Exit</t>
  </si>
  <si>
    <t>Semua kriteria = OK</t>
  </si>
  <si>
    <t>KPI Gating UAT</t>
  </si>
  <si>
    <t>&gt;= 97%</t>
  </si>
  <si>
    <t>Test case BLOCKED</t>
  </si>
  <si>
    <t>Business sign-off</t>
  </si>
  <si>
    <t>NFR utama terpenuhi</t>
  </si>
  <si>
    <t>Keputusan UAT Exit</t>
  </si>
  <si>
    <t>BYD013-01</t>
  </si>
  <si>
    <t>BYD013-02</t>
  </si>
  <si>
    <t>BYD013-03</t>
  </si>
  <si>
    <t>BYD013-04</t>
  </si>
  <si>
    <t>BYD013-05</t>
  </si>
  <si>
    <t>BYD013-06</t>
  </si>
  <si>
    <t>BYD013-07</t>
  </si>
  <si>
    <t>BYD013-08</t>
  </si>
  <si>
    <t>BYD013-09</t>
  </si>
  <si>
    <t>BYD013-10</t>
  </si>
  <si>
    <t>BYD013-11</t>
  </si>
  <si>
    <t>BYD014-01</t>
  </si>
  <si>
    <t>BYD014-02</t>
  </si>
  <si>
    <t>BYD014-03</t>
  </si>
  <si>
    <t>BYD014-04</t>
  </si>
  <si>
    <t>BYD014-05</t>
  </si>
  <si>
    <t>BYD014-06</t>
  </si>
  <si>
    <t>BYD014-07</t>
  </si>
  <si>
    <t>BYD014-08</t>
  </si>
  <si>
    <t>BYD014-09</t>
  </si>
  <si>
    <t>BYD014-10</t>
  </si>
  <si>
    <t>BYD014-11</t>
  </si>
  <si>
    <t>BYD014-12</t>
  </si>
  <si>
    <t>BYD014-13</t>
  </si>
  <si>
    <t>BYD014-14</t>
  </si>
  <si>
    <t>BYD014-15</t>
  </si>
  <si>
    <t>BYD014-16</t>
  </si>
  <si>
    <t>BYD017-12</t>
  </si>
  <si>
    <t>BYD017-13</t>
  </si>
  <si>
    <t>BYD017-14</t>
  </si>
  <si>
    <t>BYD017-15</t>
  </si>
  <si>
    <t>BYD017-16</t>
  </si>
  <si>
    <t>BYD017-17</t>
  </si>
  <si>
    <t>BYD020-01</t>
  </si>
  <si>
    <t>BYD020-02</t>
  </si>
  <si>
    <t>BYD020-03</t>
  </si>
  <si>
    <t>BYD027-04</t>
  </si>
  <si>
    <t>BYD028-03</t>
  </si>
  <si>
    <t>BYD028-04</t>
  </si>
  <si>
    <t>BYD029-04</t>
  </si>
  <si>
    <t>BYD029-05</t>
  </si>
  <si>
    <t>BYD030-05</t>
  </si>
  <si>
    <t>BYD031-05</t>
  </si>
  <si>
    <t>BYD031-06</t>
  </si>
  <si>
    <t>BYD035-04</t>
  </si>
  <si>
    <t>Azhar</t>
  </si>
  <si>
    <t>Affinia</t>
  </si>
  <si>
    <t>Kevin</t>
  </si>
  <si>
    <t>Rasya</t>
  </si>
  <si>
    <t>E-mail MUF</t>
  </si>
  <si>
    <t>azhar.azhar@muf.co.id</t>
  </si>
  <si>
    <t>affinia.by@muf.co.id</t>
  </si>
  <si>
    <t>rasya.raharjo@muf.co.id</t>
  </si>
  <si>
    <t>kevin.hardianus@muf.co.id</t>
  </si>
  <si>
    <t>x</t>
  </si>
  <si>
    <t>Email</t>
  </si>
  <si>
    <t>TIPE NASABAH</t>
  </si>
  <si>
    <t>AO</t>
  </si>
  <si>
    <t>RO</t>
  </si>
  <si>
    <t>Melakukan pengajuan data kontrak melalui untuk proses Hit Biro Kredit CBAS Digital</t>
  </si>
  <si>
    <t>Proses Hit Biro Kredit sampai Maksimal 10x</t>
  </si>
  <si>
    <t>1. Akses menu CBAS Digital
2. Lakukan pengecekan untuk data terkait masih gantung dalam status 'On Process' karena sudah maksimal limit hit 10x
3. Memastikan kondisi Verifikasi Administrasi tetap berhasil
4. Cek data pada EFD</t>
  </si>
  <si>
    <t>1. Berhasil akses menu CBAS Digital
2. Status 'On Process' sudah sesuai dan terkena limit hit 10x
3. Verifikasi administrasi tetap berhasil walaupun status on process
4. Data di EFD sudah muncul</t>
  </si>
  <si>
    <t>BYD039-01</t>
  </si>
  <si>
    <t>BYD039-02</t>
  </si>
  <si>
    <t>Proses pengecekan Hasil Total Angsuran MUF</t>
  </si>
  <si>
    <t>API Gateway</t>
  </si>
  <si>
    <t>1. Akses db untuk new service pengecekan OID
2. Lakukan pengecekan OID untuk get Total Angsuran MUF dengan kondisi :
- AO, kondisi kontrak lama end process Confirm SC2
- AO, kondisi kontrak lama end process PPD &lt; 3 Bulan
- AO, kondisi kontrak lama end process PPD &gt; 3 Bulan
3. Pastikan Total Angsuran MUF untuk ketiga kondisi didapatkan</t>
  </si>
  <si>
    <t>1. Berhasil akses db
2. Berhasil melakukan pengecekan untuk 3 kondisi get total angsuran MUF dan didapatkan data terkait
3. Nilai total angsuran MUF didapatkan untuk proses ke CBAS Digital</t>
  </si>
  <si>
    <t>BS001
BS003</t>
  </si>
  <si>
    <t>BYD040-01</t>
  </si>
  <si>
    <t>BYD040-02</t>
  </si>
  <si>
    <t>Parameter CBAS</t>
  </si>
  <si>
    <t>Setting parameter CBAS untuk Hybrid kondisi OFF dan Kondisi Non-Aktif karena diluar jam operasional</t>
  </si>
  <si>
    <t>1. Akses menu CBAS Digital
2. Lakukan setting parameter 
- Matikan kondisi Hybrid, jadi hanya Hit Biro Kredit 1 yang aktif
- Ubah parameter jam operasional Hit Biro Kredit menjadi lebih awal</t>
  </si>
  <si>
    <t>Pengecekan hasil CBAS based on perubahan parameter</t>
  </si>
  <si>
    <t>1. Akses menu CBAS Digital
2. Lakukan pengecekan berdasarkan parameter CBAS yang sudah diubah sebelumnya</t>
  </si>
  <si>
    <t>1. Berhasil akses menu CBAS Digital
2. Settingan perubahan parameter berhasil dilakukan</t>
  </si>
  <si>
    <t>1. Berhasil akses menu CBAS Digital
2. Hasil CBAS berdasarkan perubahan parameter sudah sesuai yaitu No Response</t>
  </si>
  <si>
    <t>BYD041-01</t>
  </si>
  <si>
    <t>BYD041-02</t>
  </si>
  <si>
    <t>BYD041-03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</si>
</sst>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
    <numFmt numFmtId="165" formatCode="dd/mmm/yyyy"/>
    <numFmt numFmtId="166" formatCode="dd/mm/yyyy\ hh:mm"/>
    <numFmt numFmtId="167" formatCode="dd/mmm/yyyy\ h:mm"/>
    <numFmt numFmtId="168" formatCode="yyyy/mm/dd\ h:mm"/>
  </numFmts>
  <fonts count="27">
    <font>
      <sz val="11"/>
      <color theme="1"/>
      <name val="Calibri"/>
      <charset val="134"/>
      <scheme val="minor"/>
    </font>
    <font>
      <sz val="11"/>
      <color theme="1"/>
      <name val="Calibri"/>
      <family val="2"/>
      <scheme val="minor"/>
    </font>
    <font>
      <sz val="10"/>
      <color theme="1"/>
      <name val="Calibri"/>
      <charset val="134"/>
      <scheme val="minor"/>
    </font>
    <font>
      <b/>
      <sz val="10"/>
      <name val="Calibri"/>
      <charset val="134"/>
      <scheme val="minor"/>
    </font>
    <font>
      <i/>
      <sz val="10"/>
      <name val="Calibri"/>
      <charset val="134"/>
      <scheme val="minor"/>
    </font>
    <font>
      <b/>
      <sz val="10"/>
      <color rgb="FFFFFFFF"/>
      <name val="Calibri"/>
      <charset val="134"/>
      <scheme val="minor"/>
    </font>
    <font>
      <u/>
      <sz val="11"/>
      <color theme="10"/>
      <name val="Calibri"/>
      <charset val="134"/>
      <scheme val="minor"/>
    </font>
    <font>
      <b/>
      <sz val="9"/>
      <color theme="1"/>
      <name val="Calibri"/>
      <charset val="134"/>
      <scheme val="minor"/>
    </font>
    <font>
      <sz val="9"/>
      <color theme="1"/>
      <name val="Calibri"/>
      <charset val="134"/>
      <scheme val="minor"/>
    </font>
    <font>
      <sz val="9"/>
      <color rgb="FF000000"/>
      <name val="Calibri"/>
      <charset val="134"/>
      <scheme val="minor"/>
    </font>
    <font>
      <sz val="9"/>
      <color rgb="FF292A2E"/>
      <name val="Calibri"/>
      <charset val="134"/>
      <scheme val="minor"/>
    </font>
    <font>
      <sz val="9"/>
      <color rgb="FF000000"/>
      <name val="Calibri"/>
      <charset val="134"/>
    </font>
    <font>
      <sz val="12"/>
      <color rgb="FF292A2E"/>
      <name val="Atlassian Sans"/>
      <charset val="1"/>
    </font>
    <font>
      <b/>
      <sz val="11"/>
      <color theme="1"/>
      <name val="Calibri"/>
      <charset val="134"/>
      <scheme val="minor"/>
    </font>
    <font>
      <b/>
      <sz val="11"/>
      <color theme="1"/>
      <name val="Aptos"/>
      <family val="2"/>
    </font>
    <font>
      <sz val="11"/>
      <color theme="1"/>
      <name val="Aptos"/>
      <family val="2"/>
    </font>
    <font>
      <sz val="8"/>
      <name val="Calibri"/>
      <charset val="134"/>
      <scheme val="minor"/>
    </font>
    <font>
      <sz val="12"/>
      <color theme="1"/>
      <name val="Aptos"/>
      <family val="2"/>
    </font>
    <font>
      <b/>
      <sz val="12"/>
      <color theme="1"/>
      <name val="Aptos"/>
      <family val="2"/>
    </font>
    <font>
      <sz val="12"/>
      <color rgb="FF000000"/>
      <name val="Aptos"/>
      <family val="2"/>
    </font>
    <font>
      <sz val="12"/>
      <name val="Aptos"/>
      <family val="2"/>
    </font>
    <font>
      <sz val="8"/>
      <name val="Calibri"/>
      <family val="2"/>
      <scheme val="minor"/>
    </font>
    <font>
      <sz val="11"/>
      <color rgb="FFFF0000"/>
      <name val="Calibri"/>
      <family val="2"/>
      <scheme val="minor"/>
    </font>
    <font>
      <b/>
      <sz val="11"/>
      <color theme="1"/>
      <name val="Calibri"/>
      <family val="2"/>
      <scheme val="minor"/>
    </font>
    <font>
      <b/>
      <sz val="16"/>
      <color theme="1"/>
      <name val="Aptos"/>
      <family val="2"/>
    </font>
    <font>
      <sz val="10"/>
      <color rgb="FF000000"/>
      <name val="Calibri"/>
      <family val="2"/>
      <scheme val="minor"/>
    </font>
    <font>
      <sz val="10"/>
      <color theme="1"/>
      <name val="Calibri"/>
      <family val="2"/>
      <scheme val="minor"/>
    </font>
  </fonts>
  <fills count="17">
    <fill>
      <patternFill patternType="none"/>
    </fill>
    <fill>
      <patternFill patternType="gray125"/>
    </fill>
    <fill>
      <patternFill patternType="solid">
        <fgColor rgb="FFBDD7EE"/>
        <bgColor indexed="64"/>
      </patternFill>
    </fill>
    <fill>
      <patternFill patternType="solid">
        <fgColor rgb="FFC6EFCE"/>
        <bgColor indexed="64"/>
      </patternFill>
    </fill>
    <fill>
      <patternFill patternType="solid">
        <fgColor rgb="FFFFF2CC"/>
        <bgColor indexed="64"/>
      </patternFill>
    </fill>
    <fill>
      <patternFill patternType="solid">
        <fgColor rgb="FFFFC7CE"/>
        <bgColor indexed="64"/>
      </patternFill>
    </fill>
    <fill>
      <patternFill patternType="solid">
        <fgColor rgb="FFFFE699"/>
        <bgColor indexed="64"/>
      </patternFill>
    </fill>
    <fill>
      <patternFill patternType="solid">
        <fgColor rgb="FF1F497D"/>
        <bgColor indexed="64"/>
      </patternFill>
    </fill>
    <fill>
      <patternFill patternType="solid">
        <fgColor theme="4" tint="0.3999145481734672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s>
  <borders count="22">
    <border>
      <left/>
      <right/>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medium">
        <color auto="1"/>
      </top>
      <bottom style="thin">
        <color auto="1"/>
      </bottom>
      <diagonal/>
    </border>
    <border>
      <left/>
      <right style="thin">
        <color auto="1"/>
      </right>
      <top style="thin">
        <color auto="1"/>
      </top>
      <bottom style="medium">
        <color indexed="64"/>
      </bottom>
      <diagonal/>
    </border>
    <border>
      <left style="thin">
        <color auto="1"/>
      </left>
      <right style="thin">
        <color auto="1"/>
      </right>
      <top/>
      <bottom/>
      <diagonal/>
    </border>
  </borders>
  <cellStyleXfs count="2">
    <xf numFmtId="0" fontId="0" fillId="0" borderId="0"/>
    <xf numFmtId="0" fontId="6" fillId="0" borderId="0" applyNumberFormat="0" applyFill="0" applyBorder="0" applyAlignment="0" applyProtection="0"/>
  </cellStyleXfs>
  <cellXfs count="163">
    <xf numFmtId="0" fontId="0" fillId="0" borderId="0" xfId="0"/>
    <xf numFmtId="0" fontId="2" fillId="0" borderId="0" xfId="0" applyFont="1"/>
    <xf numFmtId="0" fontId="3" fillId="0" borderId="0" xfId="0" applyFont="1"/>
    <xf numFmtId="0" fontId="3" fillId="2" borderId="1" xfId="0" applyFont="1" applyFill="1" applyBorder="1"/>
    <xf numFmtId="0" fontId="3" fillId="3" borderId="1" xfId="0" applyFont="1" applyFill="1" applyBorder="1"/>
    <xf numFmtId="164" fontId="3" fillId="4" borderId="1" xfId="0" applyNumberFormat="1" applyFont="1" applyFill="1" applyBorder="1"/>
    <xf numFmtId="164" fontId="3" fillId="3" borderId="1" xfId="0" applyNumberFormat="1" applyFont="1" applyFill="1" applyBorder="1"/>
    <xf numFmtId="0" fontId="3" fillId="5" borderId="1" xfId="0" applyFont="1" applyFill="1" applyBorder="1"/>
    <xf numFmtId="0" fontId="3" fillId="6" borderId="1" xfId="0" applyFont="1" applyFill="1" applyBorder="1"/>
    <xf numFmtId="0" fontId="4" fillId="0" borderId="0" xfId="0" applyFont="1" applyAlignment="1">
      <alignment wrapText="1"/>
    </xf>
    <xf numFmtId="0" fontId="2" fillId="0" borderId="1" xfId="0" applyFont="1" applyBorder="1"/>
    <xf numFmtId="0" fontId="3" fillId="0" borderId="1" xfId="0" applyFont="1" applyBorder="1"/>
    <xf numFmtId="0" fontId="0" fillId="0" borderId="0" xfId="0" applyAlignment="1">
      <alignment vertical="center"/>
    </xf>
    <xf numFmtId="0" fontId="2" fillId="0" borderId="2" xfId="0" applyFont="1" applyBorder="1" applyAlignment="1">
      <alignment horizontal="center" vertical="center"/>
    </xf>
    <xf numFmtId="0" fontId="5" fillId="7"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2" fillId="0" borderId="2" xfId="0" applyFont="1" applyBorder="1" applyAlignment="1">
      <alignment vertical="center"/>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165" fontId="2" fillId="0" borderId="2" xfId="0" applyNumberFormat="1" applyFont="1" applyBorder="1" applyAlignment="1">
      <alignment horizontal="center" vertical="center"/>
    </xf>
    <xf numFmtId="43" fontId="2" fillId="0" borderId="2" xfId="0" applyNumberFormat="1" applyFont="1" applyBorder="1" applyAlignment="1">
      <alignment horizontal="center" vertical="center"/>
    </xf>
    <xf numFmtId="0" fontId="6" fillId="0" borderId="0" xfId="1" applyAlignment="1">
      <alignment horizontal="left" vertical="center" wrapText="1"/>
    </xf>
    <xf numFmtId="0" fontId="6" fillId="0" borderId="2" xfId="1" applyBorder="1" applyAlignment="1">
      <alignment horizontal="left" vertical="center" wrapText="1"/>
    </xf>
    <xf numFmtId="0" fontId="7"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wrapText="1"/>
    </xf>
    <xf numFmtId="0" fontId="8" fillId="0" borderId="0" xfId="0" applyFont="1" applyAlignment="1">
      <alignment vertical="center" wrapText="1"/>
    </xf>
    <xf numFmtId="0" fontId="7" fillId="8" borderId="3" xfId="0" applyFont="1" applyFill="1" applyBorder="1" applyAlignment="1">
      <alignment horizontal="center" vertical="center" wrapText="1"/>
    </xf>
    <xf numFmtId="0" fontId="8" fillId="0" borderId="3" xfId="0" applyFont="1" applyBorder="1" applyAlignment="1">
      <alignment horizontal="center" vertical="center"/>
    </xf>
    <xf numFmtId="0" fontId="8" fillId="0" borderId="3" xfId="0" applyFont="1" applyBorder="1" applyAlignment="1">
      <alignment vertical="center" wrapText="1"/>
    </xf>
    <xf numFmtId="0" fontId="8" fillId="0" borderId="3" xfId="0" applyFont="1" applyBorder="1" applyAlignment="1">
      <alignment vertical="center"/>
    </xf>
    <xf numFmtId="0" fontId="6" fillId="0" borderId="3" xfId="1" applyBorder="1" applyAlignment="1">
      <alignment vertical="center" wrapText="1"/>
    </xf>
    <xf numFmtId="166" fontId="8" fillId="0" borderId="3" xfId="0" applyNumberFormat="1" applyFont="1" applyBorder="1" applyAlignment="1">
      <alignment horizontal="center" vertical="center"/>
    </xf>
    <xf numFmtId="0" fontId="8" fillId="0" borderId="3" xfId="0" applyFont="1" applyBorder="1" applyAlignment="1">
      <alignment horizontal="center" vertical="center" wrapText="1"/>
    </xf>
    <xf numFmtId="0" fontId="9" fillId="0" borderId="3" xfId="0" applyFont="1" applyBorder="1" applyAlignment="1">
      <alignment vertical="center" wrapText="1"/>
    </xf>
    <xf numFmtId="166" fontId="8" fillId="0" borderId="3" xfId="0" applyNumberFormat="1" applyFont="1" applyBorder="1" applyAlignment="1">
      <alignment horizontal="center" vertical="center" wrapText="1"/>
    </xf>
    <xf numFmtId="167" fontId="8" fillId="0" borderId="3" xfId="0" applyNumberFormat="1" applyFont="1" applyBorder="1" applyAlignment="1">
      <alignment horizontal="center" vertical="center" wrapText="1"/>
    </xf>
    <xf numFmtId="167" fontId="8" fillId="0" borderId="3" xfId="0" applyNumberFormat="1" applyFont="1" applyBorder="1" applyAlignment="1">
      <alignment horizontal="center" vertical="center"/>
    </xf>
    <xf numFmtId="0" fontId="10" fillId="0" borderId="3" xfId="0" applyFont="1" applyBorder="1" applyAlignment="1">
      <alignment wrapText="1"/>
    </xf>
    <xf numFmtId="14" fontId="8" fillId="0" borderId="3" xfId="0" applyNumberFormat="1" applyFont="1" applyBorder="1" applyAlignment="1">
      <alignment vertical="center"/>
    </xf>
    <xf numFmtId="168" fontId="8" fillId="0" borderId="3" xfId="0" applyNumberFormat="1" applyFont="1" applyBorder="1" applyAlignment="1">
      <alignment vertical="center"/>
    </xf>
    <xf numFmtId="168" fontId="8" fillId="0" borderId="3" xfId="0" applyNumberFormat="1" applyFont="1" applyBorder="1" applyAlignment="1">
      <alignment vertical="center" wrapText="1"/>
    </xf>
    <xf numFmtId="14" fontId="8" fillId="0" borderId="3" xfId="0" applyNumberFormat="1" applyFont="1" applyBorder="1" applyAlignment="1">
      <alignment vertical="center" wrapText="1"/>
    </xf>
    <xf numFmtId="14" fontId="8" fillId="0" borderId="3" xfId="0" applyNumberFormat="1" applyFont="1" applyBorder="1" applyAlignment="1">
      <alignment horizontal="center" vertical="center" wrapText="1"/>
    </xf>
    <xf numFmtId="0" fontId="11" fillId="0" borderId="3" xfId="0" applyFont="1" applyBorder="1"/>
    <xf numFmtId="0" fontId="8" fillId="0" borderId="3" xfId="0" applyFont="1" applyBorder="1" applyAlignment="1">
      <alignment horizontal="left" vertical="center" wrapText="1"/>
    </xf>
    <xf numFmtId="0" fontId="6" fillId="0" borderId="3" xfId="1" applyBorder="1" applyAlignment="1">
      <alignment vertical="center"/>
    </xf>
    <xf numFmtId="0" fontId="8" fillId="0" borderId="4" xfId="0" applyFont="1" applyBorder="1" applyAlignment="1">
      <alignment horizontal="center" vertical="center" wrapText="1"/>
    </xf>
    <xf numFmtId="0" fontId="8" fillId="0" borderId="4" xfId="0" applyFont="1" applyBorder="1" applyAlignment="1">
      <alignment vertical="center" wrapText="1"/>
    </xf>
    <xf numFmtId="0" fontId="6" fillId="0" borderId="4" xfId="1" applyBorder="1" applyAlignment="1">
      <alignment vertical="center" wrapText="1"/>
    </xf>
    <xf numFmtId="167" fontId="8" fillId="0" borderId="4"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vertical="center" wrapText="1"/>
    </xf>
    <xf numFmtId="0" fontId="6" fillId="0" borderId="2" xfId="1" applyBorder="1" applyAlignment="1">
      <alignment vertical="center" wrapText="1"/>
    </xf>
    <xf numFmtId="167" fontId="8" fillId="0" borderId="2" xfId="0" applyNumberFormat="1" applyFont="1" applyBorder="1" applyAlignment="1">
      <alignment horizontal="center" vertical="center" wrapText="1"/>
    </xf>
    <xf numFmtId="168" fontId="8" fillId="0" borderId="2" xfId="0" applyNumberFormat="1" applyFont="1" applyBorder="1" applyAlignment="1">
      <alignment vertical="center" wrapText="1"/>
    </xf>
    <xf numFmtId="0" fontId="8" fillId="0" borderId="2" xfId="0" applyFont="1" applyBorder="1" applyAlignment="1">
      <alignment horizontal="center" vertical="center"/>
    </xf>
    <xf numFmtId="14" fontId="8" fillId="0" borderId="2" xfId="0" applyNumberFormat="1" applyFont="1" applyBorder="1" applyAlignment="1">
      <alignment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12" fillId="0" borderId="2" xfId="0" applyFont="1" applyBorder="1" applyAlignment="1">
      <alignment horizontal="center" vertical="center"/>
    </xf>
    <xf numFmtId="0" fontId="9" fillId="0" borderId="2" xfId="0" applyFont="1" applyBorder="1" applyAlignment="1">
      <alignment vertical="center" wrapText="1"/>
    </xf>
    <xf numFmtId="0" fontId="8" fillId="0" borderId="2" xfId="0" applyFont="1" applyBorder="1" applyAlignment="1">
      <alignment horizontal="left" vertical="center" wrapText="1"/>
    </xf>
    <xf numFmtId="0" fontId="0" fillId="0" borderId="10" xfId="0" applyBorder="1" applyAlignment="1">
      <alignment horizontal="center" vertical="center" wrapText="1"/>
    </xf>
    <xf numFmtId="0" fontId="0" fillId="0" borderId="3"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wrapText="1"/>
    </xf>
    <xf numFmtId="0" fontId="13" fillId="10" borderId="7" xfId="0" applyFont="1" applyFill="1" applyBorder="1" applyAlignment="1">
      <alignment horizontal="center" vertical="center" wrapText="1"/>
    </xf>
    <xf numFmtId="0" fontId="13" fillId="10" borderId="8" xfId="0" applyFont="1" applyFill="1" applyBorder="1" applyAlignment="1">
      <alignment horizontal="center" vertical="center" wrapText="1"/>
    </xf>
    <xf numFmtId="0" fontId="13" fillId="10" borderId="9" xfId="0" applyFont="1" applyFill="1" applyBorder="1" applyAlignment="1">
      <alignment horizontal="center" vertical="center" wrapText="1"/>
    </xf>
    <xf numFmtId="0" fontId="14" fillId="0" borderId="0" xfId="0" applyFont="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horizontal="right" vertical="center" wrapText="1"/>
    </xf>
    <xf numFmtId="0" fontId="14" fillId="11" borderId="8" xfId="0" applyFont="1" applyFill="1" applyBorder="1" applyAlignment="1">
      <alignment horizontal="center" vertical="center" wrapText="1"/>
    </xf>
    <xf numFmtId="0" fontId="14" fillId="11" borderId="9" xfId="0" applyFont="1" applyFill="1" applyBorder="1" applyAlignment="1">
      <alignment horizontal="center" vertical="center" wrapText="1"/>
    </xf>
    <xf numFmtId="0" fontId="15" fillId="0" borderId="0" xfId="0" applyFont="1" applyAlignment="1">
      <alignment horizontal="center" vertical="center" wrapText="1"/>
    </xf>
    <xf numFmtId="2" fontId="15" fillId="0" borderId="0" xfId="0" applyNumberFormat="1" applyFont="1" applyAlignment="1">
      <alignment horizontal="right" vertical="center" wrapText="1"/>
    </xf>
    <xf numFmtId="2" fontId="15" fillId="0" borderId="0" xfId="0" applyNumberFormat="1" applyFont="1" applyAlignment="1">
      <alignment horizontal="left" vertical="center" wrapText="1"/>
    </xf>
    <xf numFmtId="1" fontId="15" fillId="0" borderId="0" xfId="0" applyNumberFormat="1" applyFont="1" applyAlignment="1">
      <alignment horizontal="left" vertical="center" wrapText="1"/>
    </xf>
    <xf numFmtId="1" fontId="14" fillId="0" borderId="0" xfId="0" applyNumberFormat="1" applyFont="1" applyAlignment="1">
      <alignment horizontal="right" vertical="center" wrapText="1"/>
    </xf>
    <xf numFmtId="0" fontId="15" fillId="0" borderId="10" xfId="0" applyFont="1" applyBorder="1" applyAlignment="1">
      <alignment horizontal="center" vertical="center" wrapText="1"/>
    </xf>
    <xf numFmtId="0" fontId="17" fillId="0" borderId="0" xfId="0" applyFont="1" applyAlignment="1">
      <alignment horizontal="center" vertical="center" wrapText="1"/>
    </xf>
    <xf numFmtId="0" fontId="18" fillId="10" borderId="3" xfId="0" applyFont="1" applyFill="1" applyBorder="1" applyAlignment="1">
      <alignment horizontal="center" vertical="center" wrapText="1"/>
    </xf>
    <xf numFmtId="0" fontId="18" fillId="10" borderId="11" xfId="0" applyFont="1" applyFill="1" applyBorder="1" applyAlignment="1">
      <alignment horizontal="center" vertical="center" wrapText="1"/>
    </xf>
    <xf numFmtId="0" fontId="17" fillId="0" borderId="10" xfId="0" applyFont="1" applyBorder="1" applyAlignment="1">
      <alignment horizontal="center" vertical="center" wrapText="1"/>
    </xf>
    <xf numFmtId="0" fontId="17" fillId="0" borderId="3" xfId="0" applyFont="1" applyBorder="1" applyAlignment="1">
      <alignment horizontal="center" vertical="center" wrapText="1"/>
    </xf>
    <xf numFmtId="0" fontId="19" fillId="0" borderId="3" xfId="0" applyFont="1" applyBorder="1" applyAlignment="1">
      <alignment horizontal="center" vertical="center" wrapText="1"/>
    </xf>
    <xf numFmtId="0" fontId="17" fillId="0" borderId="11" xfId="0" applyFont="1" applyBorder="1" applyAlignment="1">
      <alignment horizontal="center" vertical="center" wrapText="1"/>
    </xf>
    <xf numFmtId="0" fontId="20" fillId="0" borderId="3"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9" fillId="0" borderId="13" xfId="0" applyFont="1" applyBorder="1" applyAlignment="1">
      <alignment horizontal="center" vertical="center" wrapText="1"/>
    </xf>
    <xf numFmtId="0" fontId="15" fillId="0" borderId="3" xfId="0" applyFont="1" applyBorder="1" applyAlignment="1">
      <alignment horizontal="left" vertical="center" wrapText="1"/>
    </xf>
    <xf numFmtId="0" fontId="15" fillId="0" borderId="0" xfId="0" applyFont="1" applyAlignment="1">
      <alignment horizontal="center" vertical="top" wrapText="1"/>
    </xf>
    <xf numFmtId="0" fontId="15" fillId="0" borderId="12" xfId="0" applyFont="1" applyBorder="1" applyAlignment="1">
      <alignment horizontal="center" vertical="center" wrapText="1"/>
    </xf>
    <xf numFmtId="0" fontId="14" fillId="12" borderId="7" xfId="0" applyFont="1" applyFill="1" applyBorder="1" applyAlignment="1">
      <alignment horizontal="center" vertical="center" wrapText="1"/>
    </xf>
    <xf numFmtId="0" fontId="14" fillId="12" borderId="8" xfId="0" applyFont="1" applyFill="1" applyBorder="1" applyAlignment="1">
      <alignment horizontal="center" vertical="center" wrapText="1"/>
    </xf>
    <xf numFmtId="0" fontId="14" fillId="12" borderId="9" xfId="0" applyFont="1" applyFill="1" applyBorder="1" applyAlignment="1">
      <alignment horizontal="center" vertical="center" wrapText="1"/>
    </xf>
    <xf numFmtId="2" fontId="15" fillId="0" borderId="3" xfId="0" applyNumberFormat="1" applyFont="1" applyBorder="1" applyAlignment="1">
      <alignment vertical="center" wrapText="1"/>
    </xf>
    <xf numFmtId="2" fontId="15" fillId="0" borderId="11" xfId="0" applyNumberFormat="1" applyFont="1" applyBorder="1" applyAlignment="1">
      <alignment vertical="center" wrapText="1"/>
    </xf>
    <xf numFmtId="0" fontId="15" fillId="0" borderId="0" xfId="0" applyFont="1" applyAlignment="1">
      <alignment vertical="center" wrapText="1"/>
    </xf>
    <xf numFmtId="0" fontId="15" fillId="0" borderId="3" xfId="0" applyFont="1" applyBorder="1" applyAlignment="1">
      <alignment vertical="center" wrapText="1"/>
    </xf>
    <xf numFmtId="0" fontId="15" fillId="0" borderId="13" xfId="0" applyFont="1" applyBorder="1" applyAlignment="1">
      <alignment vertical="center" wrapText="1"/>
    </xf>
    <xf numFmtId="0" fontId="14" fillId="0" borderId="0" xfId="0" applyFont="1" applyAlignment="1">
      <alignment horizontal="center" vertical="center" wrapText="1"/>
    </xf>
    <xf numFmtId="0" fontId="14" fillId="14" borderId="0" xfId="0" applyFont="1" applyFill="1" applyAlignment="1">
      <alignment horizontal="center" vertical="top" wrapText="1"/>
    </xf>
    <xf numFmtId="0" fontId="17" fillId="0" borderId="12" xfId="0" applyFont="1" applyBorder="1" applyAlignment="1">
      <alignment horizontal="center" vertical="center" wrapText="1"/>
    </xf>
    <xf numFmtId="0" fontId="23" fillId="10" borderId="3" xfId="0" applyFont="1" applyFill="1" applyBorder="1" applyAlignment="1">
      <alignment horizontal="center" vertical="center" wrapText="1"/>
    </xf>
    <xf numFmtId="0" fontId="23" fillId="10" borderId="11" xfId="0" applyFont="1" applyFill="1" applyBorder="1" applyAlignment="1">
      <alignment horizontal="center" vertical="center" wrapText="1"/>
    </xf>
    <xf numFmtId="0" fontId="0" fillId="16" borderId="10" xfId="0" applyFill="1" applyBorder="1" applyAlignment="1">
      <alignment horizontal="center" vertical="center" wrapText="1"/>
    </xf>
    <xf numFmtId="0" fontId="0" fillId="16" borderId="3" xfId="0" applyFill="1" applyBorder="1" applyAlignment="1">
      <alignment horizontal="center" vertical="center" wrapText="1"/>
    </xf>
    <xf numFmtId="0" fontId="25" fillId="16" borderId="3" xfId="0" applyFont="1" applyFill="1" applyBorder="1" applyAlignment="1">
      <alignment horizontal="center" vertical="center" wrapText="1"/>
    </xf>
    <xf numFmtId="0" fontId="0" fillId="16" borderId="11" xfId="0" applyFill="1" applyBorder="1" applyAlignment="1">
      <alignment horizontal="center" vertical="center" wrapText="1"/>
    </xf>
    <xf numFmtId="0" fontId="26" fillId="16" borderId="3" xfId="0" applyFont="1" applyFill="1" applyBorder="1" applyAlignment="1">
      <alignment horizontal="center" vertical="center" wrapText="1"/>
    </xf>
    <xf numFmtId="0" fontId="22" fillId="16" borderId="3"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0" fillId="16" borderId="12" xfId="0" applyFill="1" applyBorder="1" applyAlignment="1">
      <alignment horizontal="center" vertical="center" wrapText="1"/>
    </xf>
    <xf numFmtId="0" fontId="0" fillId="16" borderId="13" xfId="0" applyFill="1" applyBorder="1" applyAlignment="1">
      <alignment horizontal="center" vertical="center" wrapText="1"/>
    </xf>
    <xf numFmtId="0" fontId="0" fillId="16" borderId="14" xfId="0" applyFill="1" applyBorder="1" applyAlignment="1">
      <alignment horizontal="center" vertical="center" wrapText="1"/>
    </xf>
    <xf numFmtId="0" fontId="14" fillId="0" borderId="0" xfId="0" applyFont="1" applyAlignment="1">
      <alignment horizontal="right" vertical="center" wrapText="1"/>
    </xf>
    <xf numFmtId="2" fontId="14" fillId="0" borderId="0" xfId="0" applyNumberFormat="1" applyFont="1" applyAlignment="1">
      <alignment horizontal="right" vertical="center" wrapText="1"/>
    </xf>
    <xf numFmtId="0" fontId="15" fillId="0" borderId="3" xfId="0" applyFont="1" applyBorder="1" applyAlignment="1">
      <alignment horizontal="center" vertical="center" wrapText="1"/>
    </xf>
    <xf numFmtId="2" fontId="15" fillId="0" borderId="3" xfId="0" applyNumberFormat="1" applyFont="1" applyBorder="1" applyAlignment="1">
      <alignment horizontal="right"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2" fontId="14" fillId="10" borderId="8" xfId="0" applyNumberFormat="1"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4" fillId="10" borderId="9" xfId="0" applyFont="1" applyFill="1" applyBorder="1" applyAlignment="1">
      <alignment horizontal="center" vertical="center" wrapText="1"/>
    </xf>
    <xf numFmtId="2" fontId="15" fillId="0" borderId="11" xfId="0" applyNumberFormat="1" applyFont="1" applyBorder="1" applyAlignment="1">
      <alignment horizontal="right" vertical="center" wrapText="1"/>
    </xf>
    <xf numFmtId="0" fontId="15" fillId="0" borderId="13" xfId="0" applyFont="1" applyBorder="1" applyAlignment="1">
      <alignment horizontal="center" vertical="center" wrapText="1"/>
    </xf>
    <xf numFmtId="0" fontId="15" fillId="0" borderId="13" xfId="0" applyFont="1" applyBorder="1" applyAlignment="1">
      <alignment horizontal="left" vertical="center" wrapText="1"/>
    </xf>
    <xf numFmtId="2" fontId="15" fillId="0" borderId="13" xfId="0" applyNumberFormat="1" applyFont="1" applyBorder="1" applyAlignment="1">
      <alignment horizontal="right" vertical="center" wrapText="1"/>
    </xf>
    <xf numFmtId="2" fontId="15" fillId="0" borderId="14" xfId="0" applyNumberFormat="1" applyFont="1" applyBorder="1" applyAlignment="1">
      <alignment horizontal="right" vertical="center" wrapText="1"/>
    </xf>
    <xf numFmtId="1" fontId="14" fillId="13" borderId="13" xfId="0" applyNumberFormat="1" applyFont="1" applyFill="1" applyBorder="1" applyAlignment="1">
      <alignment horizontal="right" vertical="center" wrapText="1"/>
    </xf>
    <xf numFmtId="1" fontId="14" fillId="13" borderId="14" xfId="0" applyNumberFormat="1" applyFont="1" applyFill="1" applyBorder="1" applyAlignment="1">
      <alignment horizontal="right" vertical="center" wrapText="1"/>
    </xf>
    <xf numFmtId="0" fontId="6" fillId="0" borderId="11" xfId="1" applyBorder="1" applyAlignment="1">
      <alignment vertical="center" wrapText="1"/>
    </xf>
    <xf numFmtId="0" fontId="6" fillId="0" borderId="14" xfId="1" applyBorder="1" applyAlignment="1">
      <alignment vertical="center" wrapText="1"/>
    </xf>
    <xf numFmtId="0" fontId="15" fillId="0" borderId="14" xfId="0" applyFont="1" applyBorder="1" applyAlignment="1">
      <alignment vertical="center" wrapText="1"/>
    </xf>
    <xf numFmtId="0" fontId="14" fillId="11" borderId="19" xfId="0" applyFont="1" applyFill="1" applyBorder="1" applyAlignment="1">
      <alignment horizontal="center" vertical="center" wrapText="1"/>
    </xf>
    <xf numFmtId="2" fontId="14" fillId="13" borderId="20" xfId="0" applyNumberFormat="1" applyFont="1" applyFill="1" applyBorder="1" applyAlignment="1">
      <alignment horizontal="right" vertical="center" wrapText="1"/>
    </xf>
    <xf numFmtId="0" fontId="23" fillId="10" borderId="8" xfId="0" applyFont="1" applyFill="1" applyBorder="1" applyAlignment="1">
      <alignment horizontal="center" vertical="center" wrapText="1"/>
    </xf>
    <xf numFmtId="0" fontId="23" fillId="10" borderId="9" xfId="0" applyFont="1" applyFill="1" applyBorder="1" applyAlignment="1">
      <alignment horizontal="center" vertical="center" wrapText="1"/>
    </xf>
    <xf numFmtId="0" fontId="18" fillId="0" borderId="0" xfId="0" applyFont="1" applyAlignment="1">
      <alignment horizontal="left" vertical="center" wrapText="1"/>
    </xf>
    <xf numFmtId="0" fontId="23" fillId="10" borderId="3" xfId="0" applyFont="1" applyFill="1" applyBorder="1" applyAlignment="1">
      <alignment horizontal="center" vertical="center" wrapText="1"/>
    </xf>
    <xf numFmtId="0" fontId="23" fillId="10" borderId="16" xfId="0" applyFont="1" applyFill="1" applyBorder="1" applyAlignment="1">
      <alignment horizontal="center" vertical="center" wrapText="1"/>
    </xf>
    <xf numFmtId="0" fontId="23" fillId="10" borderId="17" xfId="0" applyFont="1" applyFill="1" applyBorder="1" applyAlignment="1">
      <alignment horizontal="center" vertical="center" wrapText="1"/>
    </xf>
    <xf numFmtId="0" fontId="24" fillId="15" borderId="0" xfId="0" applyFont="1" applyFill="1" applyAlignment="1">
      <alignment horizontal="center" vertical="center" wrapText="1"/>
    </xf>
    <xf numFmtId="0" fontId="24" fillId="15" borderId="15" xfId="0" applyFont="1" applyFill="1" applyBorder="1" applyAlignment="1">
      <alignment horizontal="center" vertical="center" wrapText="1"/>
    </xf>
    <xf numFmtId="0" fontId="24" fillId="16" borderId="0" xfId="0" applyFont="1" applyFill="1" applyAlignment="1">
      <alignment horizontal="center" vertical="center" wrapText="1"/>
    </xf>
    <xf numFmtId="0" fontId="24" fillId="16" borderId="15" xfId="0" applyFont="1" applyFill="1" applyBorder="1" applyAlignment="1">
      <alignment horizontal="center" vertical="center" wrapText="1"/>
    </xf>
    <xf numFmtId="0" fontId="23" fillId="10" borderId="7" xfId="0" applyFont="1" applyFill="1" applyBorder="1" applyAlignment="1">
      <alignment horizontal="center" vertical="center" wrapText="1"/>
    </xf>
    <xf numFmtId="0" fontId="23" fillId="10" borderId="10" xfId="0" applyFont="1" applyFill="1" applyBorder="1" applyAlignment="1">
      <alignment horizontal="center" vertical="center" wrapText="1"/>
    </xf>
    <xf numFmtId="0" fontId="18" fillId="10" borderId="7" xfId="0" applyFont="1" applyFill="1" applyBorder="1" applyAlignment="1">
      <alignment horizontal="center" vertical="center" wrapText="1"/>
    </xf>
    <xf numFmtId="0" fontId="18" fillId="10" borderId="10" xfId="0" applyFont="1" applyFill="1" applyBorder="1" applyAlignment="1">
      <alignment horizontal="center" vertical="center" wrapText="1"/>
    </xf>
    <xf numFmtId="0" fontId="18" fillId="10" borderId="8" xfId="0" applyFont="1" applyFill="1" applyBorder="1" applyAlignment="1">
      <alignment horizontal="center" vertical="center" wrapText="1"/>
    </xf>
    <xf numFmtId="0" fontId="18" fillId="10" borderId="3" xfId="0" applyFont="1" applyFill="1" applyBorder="1" applyAlignment="1">
      <alignment horizontal="center" vertical="center" wrapText="1"/>
    </xf>
    <xf numFmtId="0" fontId="18" fillId="10" borderId="9" xfId="0" applyFont="1" applyFill="1" applyBorder="1" applyAlignment="1">
      <alignment horizontal="center" vertical="center" wrapText="1"/>
    </xf>
    <xf numFmtId="0" fontId="18" fillId="10" borderId="16" xfId="0" applyFont="1" applyFill="1" applyBorder="1" applyAlignment="1">
      <alignment horizontal="center" vertical="center" wrapText="1"/>
    </xf>
    <xf numFmtId="0" fontId="18" fillId="10" borderId="17" xfId="0" applyFont="1" applyFill="1" applyBorder="1" applyAlignment="1">
      <alignment horizontal="center" vertical="center" wrapText="1"/>
    </xf>
    <xf numFmtId="0" fontId="15" fillId="0" borderId="3" xfId="0" applyFont="1" applyBorder="1" applyAlignment="1">
      <alignment horizontal="center" vertical="top" wrapText="1"/>
    </xf>
    <xf numFmtId="0" fontId="15" fillId="0" borderId="18" xfId="0" applyFont="1" applyBorder="1" applyAlignment="1">
      <alignment horizontal="center" vertical="top" wrapText="1"/>
    </xf>
    <xf numFmtId="0" fontId="15" fillId="0" borderId="21" xfId="0" applyFont="1" applyBorder="1" applyAlignment="1">
      <alignment horizontal="center" vertical="top" wrapText="1"/>
    </xf>
    <xf numFmtId="0" fontId="15" fillId="0" borderId="17" xfId="0" applyFont="1" applyBorder="1" applyAlignment="1">
      <alignment horizontal="center" vertical="top" wrapText="1"/>
    </xf>
    <xf numFmtId="0" fontId="14" fillId="14" borderId="0" xfId="0" applyFont="1" applyFill="1" applyAlignment="1">
      <alignment horizontal="left" vertical="center" wrapText="1"/>
    </xf>
  </cellXfs>
  <cellStyles count="2">
    <cellStyle name="Hyperlink" xfId="1" builtinId="8"/>
    <cellStyle name="Normal" xfId="0" builtinId="0"/>
  </cellStyles>
  <dxfs count="19">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FFE699"/>
        </patternFill>
      </fill>
    </dxf>
    <dxf>
      <fill>
        <patternFill patternType="solid">
          <fgColor rgb="FFC6EFCE"/>
        </patternFill>
      </fill>
    </dxf>
    <dxf>
      <fill>
        <patternFill patternType="solid">
          <fgColor rgb="FF9BC2E6"/>
        </patternFill>
      </fill>
    </dxf>
    <dxf>
      <fill>
        <patternFill patternType="solid">
          <fgColor rgb="FFFFD966"/>
        </patternFill>
      </fill>
    </dxf>
    <dxf>
      <fill>
        <patternFill patternType="solid">
          <fgColor rgb="FFFF9999"/>
        </patternFill>
      </fill>
    </dxf>
    <dxf>
      <fill>
        <patternFill patternType="solid">
          <fgColor rgb="FFFF0000"/>
        </patternFill>
      </fill>
    </dxf>
    <dxf>
      <fill>
        <patternFill patternType="solid">
          <fgColor rgb="FFE7E6E6"/>
        </patternFill>
      </fill>
    </dxf>
    <dxf>
      <fill>
        <patternFill patternType="solid">
          <fgColor rgb="FFFFF2CC"/>
        </patternFill>
      </fill>
    </dxf>
    <dxf>
      <fill>
        <patternFill patternType="solid">
          <fgColor rgb="FFFFC7CE"/>
        </patternFill>
      </fill>
    </dxf>
    <dxf>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Distribusi Coverage</a:t>
            </a:r>
          </a:p>
        </c:rich>
      </c:tx>
      <c:overlay val="1"/>
    </c:title>
    <c:autoTitleDeleted val="0"/>
    <c:plotArea>
      <c:layout/>
      <c:pieChart>
        <c:varyColors val="1"/>
        <c:ser>
          <c:idx val="0"/>
          <c:order val="0"/>
          <c:spPr>
            <a:ln>
              <a:noFill/>
              <a:prstDash val="solid"/>
            </a:ln>
          </c:spPr>
          <c:dPt>
            <c:idx val="0"/>
            <c:bubble3D val="0"/>
            <c:extLst>
              <c:ext xmlns:c16="http://schemas.microsoft.com/office/drawing/2014/chart" uri="{C3380CC4-5D6E-409C-BE32-E72D297353CC}">
                <c16:uniqueId val="{00000001-DA78-4DEA-A0BC-BF3AF27310D5}"/>
              </c:ext>
            </c:extLst>
          </c:dPt>
          <c:dPt>
            <c:idx val="1"/>
            <c:bubble3D val="0"/>
            <c:extLst>
              <c:ext xmlns:c16="http://schemas.microsoft.com/office/drawing/2014/chart" uri="{C3380CC4-5D6E-409C-BE32-E72D297353CC}">
                <c16:uniqueId val="{00000003-DA78-4DEA-A0BC-BF3AF27310D5}"/>
              </c:ext>
            </c:extLst>
          </c:dPt>
          <c:dPt>
            <c:idx val="2"/>
            <c:bubble3D val="0"/>
            <c:extLst>
              <c:ext xmlns:c16="http://schemas.microsoft.com/office/drawing/2014/chart" uri="{C3380CC4-5D6E-409C-BE32-E72D297353CC}">
                <c16:uniqueId val="{00000005-DA78-4DEA-A0BC-BF3AF27310D5}"/>
              </c:ext>
            </c:extLst>
          </c:dPt>
          <c:cat>
            <c:strRef>
              <c:f>[2]Dashboard!$A$12:$A$14</c:f>
              <c:strCache>
                <c:ptCount val="3"/>
                <c:pt idx="0">
                  <c:v>Covered</c:v>
                </c:pt>
                <c:pt idx="1">
                  <c:v>Partial</c:v>
                </c:pt>
                <c:pt idx="2">
                  <c:v>Gap</c:v>
                </c:pt>
              </c:strCache>
            </c:strRef>
          </c:cat>
          <c:val>
            <c:numRef>
              <c:f>[2]Dashboard!$B$12:$B$14</c:f>
              <c:numCache>
                <c:formatCode>General</c:formatCode>
                <c:ptCount val="3"/>
                <c:pt idx="0">
                  <c:v>0</c:v>
                </c:pt>
                <c:pt idx="1">
                  <c:v>0</c:v>
                </c:pt>
                <c:pt idx="2">
                  <c:v>0</c:v>
                </c:pt>
              </c:numCache>
            </c:numRef>
          </c:val>
          <c:extLst>
            <c:ext xmlns:c16="http://schemas.microsoft.com/office/drawing/2014/chart" uri="{C3380CC4-5D6E-409C-BE32-E72D297353CC}">
              <c16:uniqueId val="{00000006-DA78-4DEA-A0BC-BF3AF27310D5}"/>
            </c:ext>
          </c:extLst>
        </c:ser>
        <c:dLbls>
          <c:showLegendKey val="0"/>
          <c:showVal val="0"/>
          <c:showCatName val="0"/>
          <c:showSerName val="0"/>
          <c:showPercent val="0"/>
          <c:showBubbleSize val="0"/>
          <c:showLeaderLines val="1"/>
        </c:dLbls>
        <c:firstSliceAng val="0"/>
      </c:pieChart>
    </c:plotArea>
    <c:legend>
      <c:legendPos val="r"/>
      <c:overlay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1"/>
    <c:extLst>
      <c:ext uri="{0b15fc19-7d7d-44ad-8c2d-2c3a37ce22c3}">
        <chartProps xmlns="https://web.wps.cn/et/2018/main" chartId="{4ceb3533-df3f-43db-8a53-3c613399d785}"/>
      </c:ext>
    </c:extLst>
  </c:chart>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Distribusi Status Pengujian</a:t>
            </a:r>
          </a:p>
        </c:rich>
      </c:tx>
      <c:overlay val="1"/>
    </c:title>
    <c:autoTitleDeleted val="0"/>
    <c:plotArea>
      <c:layout/>
      <c:pieChart>
        <c:varyColors val="1"/>
        <c:ser>
          <c:idx val="0"/>
          <c:order val="0"/>
          <c:spPr>
            <a:ln>
              <a:noFill/>
              <a:prstDash val="solid"/>
            </a:ln>
          </c:spPr>
          <c:dPt>
            <c:idx val="0"/>
            <c:bubble3D val="0"/>
            <c:extLst>
              <c:ext xmlns:c16="http://schemas.microsoft.com/office/drawing/2014/chart" uri="{C3380CC4-5D6E-409C-BE32-E72D297353CC}">
                <c16:uniqueId val="{00000001-549B-457D-8590-A908961BA101}"/>
              </c:ext>
            </c:extLst>
          </c:dPt>
          <c:dPt>
            <c:idx val="1"/>
            <c:bubble3D val="0"/>
            <c:extLst>
              <c:ext xmlns:c16="http://schemas.microsoft.com/office/drawing/2014/chart" uri="{C3380CC4-5D6E-409C-BE32-E72D297353CC}">
                <c16:uniqueId val="{00000003-549B-457D-8590-A908961BA101}"/>
              </c:ext>
            </c:extLst>
          </c:dPt>
          <c:dPt>
            <c:idx val="2"/>
            <c:bubble3D val="0"/>
            <c:extLst>
              <c:ext xmlns:c16="http://schemas.microsoft.com/office/drawing/2014/chart" uri="{C3380CC4-5D6E-409C-BE32-E72D297353CC}">
                <c16:uniqueId val="{00000005-549B-457D-8590-A908961BA101}"/>
              </c:ext>
            </c:extLst>
          </c:dPt>
          <c:dPt>
            <c:idx val="3"/>
            <c:bubble3D val="0"/>
            <c:extLst>
              <c:ext xmlns:c16="http://schemas.microsoft.com/office/drawing/2014/chart" uri="{C3380CC4-5D6E-409C-BE32-E72D297353CC}">
                <c16:uniqueId val="{00000007-549B-457D-8590-A908961BA101}"/>
              </c:ext>
            </c:extLst>
          </c:dPt>
          <c:cat>
            <c:strRef>
              <c:f>[2]Dashboard!$A$31:$A$34</c:f>
              <c:strCache>
                <c:ptCount val="4"/>
                <c:pt idx="0">
                  <c:v>Pass</c:v>
                </c:pt>
                <c:pt idx="1">
                  <c:v>Fail</c:v>
                </c:pt>
                <c:pt idx="2">
                  <c:v>Blocked</c:v>
                </c:pt>
                <c:pt idx="3">
                  <c:v>Not Run</c:v>
                </c:pt>
              </c:strCache>
            </c:strRef>
          </c:cat>
          <c:val>
            <c:numRef>
              <c:f>[2]Dashboard!$B$31:$B$34</c:f>
              <c:numCache>
                <c:formatCode>General</c:formatCode>
                <c:ptCount val="4"/>
                <c:pt idx="0">
                  <c:v>1</c:v>
                </c:pt>
                <c:pt idx="1">
                  <c:v>0</c:v>
                </c:pt>
                <c:pt idx="2">
                  <c:v>0</c:v>
                </c:pt>
                <c:pt idx="3">
                  <c:v>134</c:v>
                </c:pt>
              </c:numCache>
            </c:numRef>
          </c:val>
          <c:extLst>
            <c:ext xmlns:c16="http://schemas.microsoft.com/office/drawing/2014/chart" uri="{C3380CC4-5D6E-409C-BE32-E72D297353CC}">
              <c16:uniqueId val="{00000008-549B-457D-8590-A908961BA101}"/>
            </c:ext>
          </c:extLst>
        </c:ser>
        <c:dLbls>
          <c:showLegendKey val="0"/>
          <c:showVal val="0"/>
          <c:showCatName val="0"/>
          <c:showSerName val="0"/>
          <c:showPercent val="0"/>
          <c:showBubbleSize val="0"/>
          <c:showLeaderLines val="1"/>
        </c:dLbls>
        <c:firstSliceAng val="0"/>
      </c:pieChart>
    </c:plotArea>
    <c:legend>
      <c:legendPos val="r"/>
      <c:overlay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1"/>
    <c:extLst>
      <c:ext uri="{0b15fc19-7d7d-44ad-8c2d-2c3a37ce22c3}">
        <chartProps xmlns="https://web.wps.cn/et/2018/main" chartId="{b1a0ca88-2aaa-45c0-a56d-cb8d3be912a8}"/>
      </c:ext>
    </c:extLst>
  </c:chart>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chemeClr val="tx1"/>
                </a:solidFill>
                <a:latin typeface="+mn-lt"/>
                <a:ea typeface="+mn-ea"/>
                <a:cs typeface="+mn-cs"/>
              </a:defRPr>
            </a:pPr>
            <a:r>
              <a:rPr lang="en-US"/>
              <a:t>Jumlah Defect per Severity</a:t>
            </a:r>
          </a:p>
        </c:rich>
      </c:tx>
      <c:overlay val="1"/>
    </c:title>
    <c:autoTitleDeleted val="0"/>
    <c:plotArea>
      <c:layout/>
      <c:barChart>
        <c:barDir val="col"/>
        <c:grouping val="clustered"/>
        <c:varyColors val="1"/>
        <c:ser>
          <c:idx val="0"/>
          <c:order val="0"/>
          <c:spPr>
            <a:ln>
              <a:noFill/>
              <a:prstDash val="solid"/>
            </a:ln>
          </c:spPr>
          <c:invertIfNegative val="1"/>
          <c:dPt>
            <c:idx val="0"/>
            <c:invertIfNegative val="1"/>
            <c:bubble3D val="0"/>
            <c:extLst>
              <c:ext xmlns:c16="http://schemas.microsoft.com/office/drawing/2014/chart" uri="{C3380CC4-5D6E-409C-BE32-E72D297353CC}">
                <c16:uniqueId val="{00000001-DD63-4EC5-953D-1BFEC23DBDE5}"/>
              </c:ext>
            </c:extLst>
          </c:dPt>
          <c:dPt>
            <c:idx val="1"/>
            <c:invertIfNegative val="1"/>
            <c:bubble3D val="0"/>
            <c:extLst>
              <c:ext xmlns:c16="http://schemas.microsoft.com/office/drawing/2014/chart" uri="{C3380CC4-5D6E-409C-BE32-E72D297353CC}">
                <c16:uniqueId val="{00000003-DD63-4EC5-953D-1BFEC23DBDE5}"/>
              </c:ext>
            </c:extLst>
          </c:dPt>
          <c:dPt>
            <c:idx val="2"/>
            <c:invertIfNegative val="1"/>
            <c:bubble3D val="0"/>
            <c:extLst>
              <c:ext xmlns:c16="http://schemas.microsoft.com/office/drawing/2014/chart" uri="{C3380CC4-5D6E-409C-BE32-E72D297353CC}">
                <c16:uniqueId val="{00000005-DD63-4EC5-953D-1BFEC23DBDE5}"/>
              </c:ext>
            </c:extLst>
          </c:dPt>
          <c:dPt>
            <c:idx val="3"/>
            <c:invertIfNegative val="1"/>
            <c:bubble3D val="0"/>
            <c:extLst>
              <c:ext xmlns:c16="http://schemas.microsoft.com/office/drawing/2014/chart" uri="{C3380CC4-5D6E-409C-BE32-E72D297353CC}">
                <c16:uniqueId val="{00000007-DD63-4EC5-953D-1BFEC23DBDE5}"/>
              </c:ext>
            </c:extLst>
          </c:dPt>
          <c:dPt>
            <c:idx val="4"/>
            <c:invertIfNegative val="1"/>
            <c:bubble3D val="0"/>
            <c:extLst>
              <c:ext xmlns:c16="http://schemas.microsoft.com/office/drawing/2014/chart" uri="{C3380CC4-5D6E-409C-BE32-E72D297353CC}">
                <c16:uniqueId val="{00000009-DD63-4EC5-953D-1BFEC23DBDE5}"/>
              </c:ext>
            </c:extLst>
          </c:dPt>
          <c:cat>
            <c:strRef>
              <c:f>[2]Dashboard!$A$51:$A$55</c:f>
              <c:strCache>
                <c:ptCount val="5"/>
                <c:pt idx="0">
                  <c:v>Critical</c:v>
                </c:pt>
                <c:pt idx="1">
                  <c:v>High</c:v>
                </c:pt>
                <c:pt idx="2">
                  <c:v>Medium</c:v>
                </c:pt>
                <c:pt idx="3">
                  <c:v>Low</c:v>
                </c:pt>
                <c:pt idx="4">
                  <c:v>Trivial</c:v>
                </c:pt>
              </c:strCache>
            </c:strRef>
          </c:cat>
          <c:val>
            <c:numRef>
              <c:f>[2]Dashboard!$B$51:$B$55</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A-DD63-4EC5-953D-1BFEC23DBDE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rot="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Severity</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a:t>Jumlah</a:t>
                </a:r>
              </a:p>
            </c:rich>
          </c:tx>
          <c:overlay val="1"/>
        </c:title>
        <c:numFmt formatCode="General" sourceLinked="1"/>
        <c:majorTickMark val="none"/>
        <c:minorTickMark val="none"/>
        <c:tickLblPos val="nextTo"/>
        <c:crossAx val="10"/>
        <c:crosses val="autoZero"/>
        <c:crossBetween val="between"/>
      </c:valAx>
    </c:plotArea>
    <c:legend>
      <c:legendPos val="r"/>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1"/>
    <c:extLst>
      <c:ext uri="{0b15fc19-7d7d-44ad-8c2d-2c3a37ce22c3}">
        <chartProps xmlns="https://web.wps.cn/et/2018/main" chartId="{0379bbd8-c378-41a8-ae15-a765705a09ba}"/>
      </c:ext>
    </c:extLst>
  </c:chart>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10</xdr:row>
      <xdr:rowOff>0</xdr:rowOff>
    </xdr:from>
    <xdr:ext cx="5400000" cy="240536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3</xdr:col>
      <xdr:colOff>0</xdr:colOff>
      <xdr:row>29</xdr:row>
      <xdr:rowOff>0</xdr:rowOff>
    </xdr:from>
    <xdr:ext cx="5400000" cy="2405360"/>
    <xdr:graphicFrame macro="">
      <xdr:nvGraphicFramePr>
        <xdr:cNvPr id="3" name="Chart 2">
          <a:extLst>
            <a:ext uri="{FF2B5EF4-FFF2-40B4-BE49-F238E27FC236}">
              <a16:creationId xmlns:a16="http://schemas.microsoft.com/office/drawing/2014/main" id="{00000000-0008-0000-0900-000003000000}"/>
            </a:ext>
            <a:ext uri="{147F2762-F138-4A5C-976F-8EAC2B608ADB}">
              <a16:predDERef xmlns:a16="http://schemas.microsoft.com/office/drawing/2014/main" pre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0</xdr:colOff>
      <xdr:row>48</xdr:row>
      <xdr:rowOff>0</xdr:rowOff>
    </xdr:from>
    <xdr:ext cx="5400000" cy="2405360"/>
    <xdr:graphicFrame macro="">
      <xdr:nvGraphicFramePr>
        <xdr:cNvPr id="4" name="Chart 3">
          <a:extLst>
            <a:ext uri="{FF2B5EF4-FFF2-40B4-BE49-F238E27FC236}">
              <a16:creationId xmlns:a16="http://schemas.microsoft.com/office/drawing/2014/main" id="{00000000-0008-0000-0900-000004000000}"/>
            </a:ext>
            <a:ext uri="{147F2762-F138-4A5C-976F-8EAC2B608ADB}">
              <a16:predDERef xmlns:a16="http://schemas.microsoft.com/office/drawing/2014/main" pre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9012749\Downloads\UAT%20Scenarios%20-%20PRJ20260012%20-%20BRD20240160%20-%20Leadsync%20dan%20CRM%20(CRM%20Only).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01%20MUF%20-%20ADITYO/03%20Section%20Head/03%20Template%20Dokumen%20UAT/RTM%20-%20Livin%20Auto%20R7.xlsx" TargetMode="External"/><Relationship Id="rId1" Type="http://schemas.openxmlformats.org/officeDocument/2006/relationships/externalLinkPath" Target="/01%20MUF%20-%20ADITYO/03%20Section%20Head/03%20Template%20Dokumen%20UAT/RTM%20-%20Livin%20Auto%20R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x"/>
      <sheetName val="UAT Scenarios"/>
      <sheetName val="Dashboard Progress"/>
      <sheetName val="Panduan"/>
      <sheetName val="Lookup"/>
      <sheetName val="Dashboard"/>
      <sheetName val="RTM"/>
      <sheetName val="DEFECT LOG"/>
    </sheetNames>
    <sheetDataSet>
      <sheetData sheetId="0" refreshError="1"/>
      <sheetData sheetId="1" refreshError="1"/>
      <sheetData sheetId="2" refreshError="1"/>
      <sheetData sheetId="3" refreshError="1"/>
      <sheetData sheetId="4"/>
      <sheetData sheetId="5" refreshError="1"/>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ookup"/>
      <sheetName val="Dashboard"/>
      <sheetName val="RTM"/>
      <sheetName val="Panduan"/>
      <sheetName val="DEFECT LOG"/>
    </sheetNames>
    <sheetDataSet>
      <sheetData sheetId="0"/>
      <sheetData sheetId="1">
        <row r="12">
          <cell r="A12" t="str">
            <v>Covered</v>
          </cell>
          <cell r="B12">
            <v>0</v>
          </cell>
        </row>
        <row r="13">
          <cell r="A13" t="str">
            <v>Partial</v>
          </cell>
          <cell r="B13">
            <v>0</v>
          </cell>
        </row>
        <row r="14">
          <cell r="A14" t="str">
            <v>Gap</v>
          </cell>
          <cell r="B14">
            <v>0</v>
          </cell>
        </row>
        <row r="31">
          <cell r="A31" t="str">
            <v>Pass</v>
          </cell>
          <cell r="B31">
            <v>1</v>
          </cell>
        </row>
        <row r="32">
          <cell r="A32" t="str">
            <v>Fail</v>
          </cell>
          <cell r="B32">
            <v>0</v>
          </cell>
        </row>
        <row r="33">
          <cell r="A33" t="str">
            <v>Blocked</v>
          </cell>
          <cell r="B33">
            <v>0</v>
          </cell>
        </row>
        <row r="34">
          <cell r="A34" t="str">
            <v>Not Run</v>
          </cell>
          <cell r="B34">
            <v>134</v>
          </cell>
        </row>
        <row r="51">
          <cell r="A51" t="str">
            <v>Critical</v>
          </cell>
          <cell r="B51">
            <v>0</v>
          </cell>
        </row>
        <row r="52">
          <cell r="A52" t="str">
            <v>High</v>
          </cell>
          <cell r="B52">
            <v>0</v>
          </cell>
        </row>
        <row r="53">
          <cell r="A53" t="str">
            <v>Medium</v>
          </cell>
          <cell r="B53">
            <v>0</v>
          </cell>
        </row>
        <row r="54">
          <cell r="A54" t="str">
            <v>Low</v>
          </cell>
          <cell r="B54">
            <v>0</v>
          </cell>
        </row>
        <row r="55">
          <cell r="A55" t="str">
            <v>Trivial</v>
          </cell>
          <cell r="B55">
            <v>0</v>
          </cell>
        </row>
      </sheetData>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mailto:azhar.azhar@muf.co.id" TargetMode="External"/><Relationship Id="rId18" Type="http://schemas.openxmlformats.org/officeDocument/2006/relationships/hyperlink" Target="mailto:affinia.by@muf.co.id" TargetMode="External"/><Relationship Id="rId26" Type="http://schemas.openxmlformats.org/officeDocument/2006/relationships/hyperlink" Target="mailto:rasya.raharjo@muf.co.id" TargetMode="External"/><Relationship Id="rId39" Type="http://schemas.openxmlformats.org/officeDocument/2006/relationships/hyperlink" Target="mailto:kevin.hardianus@muf.co.id" TargetMode="External"/><Relationship Id="rId21" Type="http://schemas.openxmlformats.org/officeDocument/2006/relationships/hyperlink" Target="mailto:affinia.by@muf.co.id" TargetMode="External"/><Relationship Id="rId34" Type="http://schemas.openxmlformats.org/officeDocument/2006/relationships/hyperlink" Target="mailto:kevin.hardianus@muf.co.id" TargetMode="External"/><Relationship Id="rId7" Type="http://schemas.openxmlformats.org/officeDocument/2006/relationships/hyperlink" Target="mailto:azhar.azhar@muf.co.id" TargetMode="External"/><Relationship Id="rId2" Type="http://schemas.openxmlformats.org/officeDocument/2006/relationships/hyperlink" Target="mailto:affinia.by@muf.co.id" TargetMode="External"/><Relationship Id="rId16" Type="http://schemas.openxmlformats.org/officeDocument/2006/relationships/hyperlink" Target="mailto:affinia.by@muf.co.id" TargetMode="External"/><Relationship Id="rId20" Type="http://schemas.openxmlformats.org/officeDocument/2006/relationships/hyperlink" Target="mailto:affinia.by@muf.co.id" TargetMode="External"/><Relationship Id="rId29" Type="http://schemas.openxmlformats.org/officeDocument/2006/relationships/hyperlink" Target="mailto:rasya.raharjo@muf.co.id" TargetMode="External"/><Relationship Id="rId41" Type="http://schemas.openxmlformats.org/officeDocument/2006/relationships/hyperlink" Target="mailto:rasya.raharjo@muf.co.id" TargetMode="External"/><Relationship Id="rId1" Type="http://schemas.openxmlformats.org/officeDocument/2006/relationships/hyperlink" Target="mailto:azhar.azhar@muf.co.id" TargetMode="External"/><Relationship Id="rId6" Type="http://schemas.openxmlformats.org/officeDocument/2006/relationships/hyperlink" Target="mailto:azhar.azhar@muf.co.id" TargetMode="External"/><Relationship Id="rId11" Type="http://schemas.openxmlformats.org/officeDocument/2006/relationships/hyperlink" Target="mailto:azhar.azhar@muf.co.id" TargetMode="External"/><Relationship Id="rId24" Type="http://schemas.openxmlformats.org/officeDocument/2006/relationships/hyperlink" Target="mailto:rasya.raharjo@muf.co.id" TargetMode="External"/><Relationship Id="rId32" Type="http://schemas.openxmlformats.org/officeDocument/2006/relationships/hyperlink" Target="mailto:kevin.hardianus@muf.co.id" TargetMode="External"/><Relationship Id="rId37" Type="http://schemas.openxmlformats.org/officeDocument/2006/relationships/hyperlink" Target="mailto:kevin.hardianus@muf.co.id" TargetMode="External"/><Relationship Id="rId40" Type="http://schemas.openxmlformats.org/officeDocument/2006/relationships/hyperlink" Target="mailto:azhar.azhar@muf.co.id" TargetMode="External"/><Relationship Id="rId5" Type="http://schemas.openxmlformats.org/officeDocument/2006/relationships/hyperlink" Target="mailto:azhar.azhar@muf.co.id" TargetMode="External"/><Relationship Id="rId15" Type="http://schemas.openxmlformats.org/officeDocument/2006/relationships/hyperlink" Target="mailto:affinia.by@muf.co.id" TargetMode="External"/><Relationship Id="rId23" Type="http://schemas.openxmlformats.org/officeDocument/2006/relationships/hyperlink" Target="mailto:rasya.raharjo@muf.co.id" TargetMode="External"/><Relationship Id="rId28" Type="http://schemas.openxmlformats.org/officeDocument/2006/relationships/hyperlink" Target="mailto:rasya.raharjo@muf.co.id" TargetMode="External"/><Relationship Id="rId36" Type="http://schemas.openxmlformats.org/officeDocument/2006/relationships/hyperlink" Target="mailto:kevin.hardianus@muf.co.id" TargetMode="External"/><Relationship Id="rId10" Type="http://schemas.openxmlformats.org/officeDocument/2006/relationships/hyperlink" Target="mailto:azhar.azhar@muf.co.id" TargetMode="External"/><Relationship Id="rId19" Type="http://schemas.openxmlformats.org/officeDocument/2006/relationships/hyperlink" Target="mailto:affinia.by@muf.co.id" TargetMode="External"/><Relationship Id="rId31" Type="http://schemas.openxmlformats.org/officeDocument/2006/relationships/hyperlink" Target="mailto:kevin.hardianus@muf.co.id" TargetMode="External"/><Relationship Id="rId4" Type="http://schemas.openxmlformats.org/officeDocument/2006/relationships/hyperlink" Target="mailto:kevin.hardianus@muf.co.id" TargetMode="External"/><Relationship Id="rId9" Type="http://schemas.openxmlformats.org/officeDocument/2006/relationships/hyperlink" Target="mailto:azhar.azhar@muf.co.id" TargetMode="External"/><Relationship Id="rId14" Type="http://schemas.openxmlformats.org/officeDocument/2006/relationships/hyperlink" Target="mailto:affinia.by@muf.co.id" TargetMode="External"/><Relationship Id="rId22" Type="http://schemas.openxmlformats.org/officeDocument/2006/relationships/hyperlink" Target="mailto:affinia.by@muf.co.id" TargetMode="External"/><Relationship Id="rId27" Type="http://schemas.openxmlformats.org/officeDocument/2006/relationships/hyperlink" Target="mailto:rasya.raharjo@muf.co.id" TargetMode="External"/><Relationship Id="rId30" Type="http://schemas.openxmlformats.org/officeDocument/2006/relationships/hyperlink" Target="mailto:rasya.raharjo@muf.co.id" TargetMode="External"/><Relationship Id="rId35" Type="http://schemas.openxmlformats.org/officeDocument/2006/relationships/hyperlink" Target="mailto:kevin.hardianus@muf.co.id" TargetMode="External"/><Relationship Id="rId8" Type="http://schemas.openxmlformats.org/officeDocument/2006/relationships/hyperlink" Target="mailto:azhar.azhar@muf.co.id" TargetMode="External"/><Relationship Id="rId3" Type="http://schemas.openxmlformats.org/officeDocument/2006/relationships/hyperlink" Target="mailto:rasya.raharjo@muf.co.id" TargetMode="External"/><Relationship Id="rId12" Type="http://schemas.openxmlformats.org/officeDocument/2006/relationships/hyperlink" Target="mailto:azhar.azhar@muf.co.id" TargetMode="External"/><Relationship Id="rId17" Type="http://schemas.openxmlformats.org/officeDocument/2006/relationships/hyperlink" Target="mailto:affinia.by@muf.co.id" TargetMode="External"/><Relationship Id="rId25" Type="http://schemas.openxmlformats.org/officeDocument/2006/relationships/hyperlink" Target="mailto:rasya.raharjo@muf.co.id" TargetMode="External"/><Relationship Id="rId33" Type="http://schemas.openxmlformats.org/officeDocument/2006/relationships/hyperlink" Target="mailto:kevin.hardianus@muf.co.id" TargetMode="External"/><Relationship Id="rId38" Type="http://schemas.openxmlformats.org/officeDocument/2006/relationships/hyperlink" Target="mailto:kevin.hardianus@muf.c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249977111117893"/>
  </sheetPr>
  <dimension ref="A1:M66"/>
  <sheetViews>
    <sheetView topLeftCell="A24" zoomScaleNormal="100" workbookViewId="0">
      <selection activeCell="G8" sqref="G8"/>
    </sheetView>
  </sheetViews>
  <sheetFormatPr defaultColWidth="8.88671875" defaultRowHeight="14.4"/>
  <cols>
    <col min="1" max="1" width="8.88671875" style="75"/>
    <col min="2" max="2" width="31.21875" style="100" bestFit="1" customWidth="1"/>
    <col min="3" max="3" width="23" style="100" bestFit="1" customWidth="1"/>
    <col min="4" max="4" width="26.88671875" style="100" bestFit="1" customWidth="1"/>
    <col min="5" max="7" width="8.88671875" style="100"/>
    <col min="8" max="8" width="13.88671875" style="100" customWidth="1"/>
    <col min="9" max="9" width="15.88671875" style="100" customWidth="1"/>
    <col min="10" max="10" width="28.5546875" style="100" customWidth="1"/>
    <col min="11" max="16384" width="8.88671875" style="100"/>
  </cols>
  <sheetData>
    <row r="1" spans="1:10" s="75" customFormat="1" ht="28.8">
      <c r="A1" s="95" t="s">
        <v>0</v>
      </c>
      <c r="B1" s="96" t="s">
        <v>1</v>
      </c>
      <c r="C1" s="96" t="s">
        <v>2</v>
      </c>
      <c r="D1" s="97" t="s">
        <v>3</v>
      </c>
      <c r="G1" s="95" t="s">
        <v>0</v>
      </c>
      <c r="H1" s="96" t="s">
        <v>4</v>
      </c>
      <c r="I1" s="96" t="s">
        <v>5</v>
      </c>
      <c r="J1" s="97" t="s">
        <v>1028</v>
      </c>
    </row>
    <row r="2" spans="1:10">
      <c r="A2" s="80">
        <v>1</v>
      </c>
      <c r="B2" s="92" t="s">
        <v>6</v>
      </c>
      <c r="C2" s="98">
        <v>1</v>
      </c>
      <c r="D2" s="99">
        <f>C2+(C2*30%)</f>
        <v>1.3</v>
      </c>
      <c r="G2" s="80">
        <v>1</v>
      </c>
      <c r="H2" s="101" t="s">
        <v>7</v>
      </c>
      <c r="I2" s="120" t="s">
        <v>1024</v>
      </c>
      <c r="J2" s="134" t="s">
        <v>1029</v>
      </c>
    </row>
    <row r="3" spans="1:10">
      <c r="A3" s="80">
        <v>2</v>
      </c>
      <c r="B3" s="92" t="s">
        <v>8</v>
      </c>
      <c r="C3" s="98">
        <v>1.5</v>
      </c>
      <c r="D3" s="99">
        <f t="shared" ref="D3:D22" si="0">C3+(C3*30%)</f>
        <v>1.95</v>
      </c>
      <c r="G3" s="80">
        <v>2</v>
      </c>
      <c r="H3" s="101" t="s">
        <v>9</v>
      </c>
      <c r="I3" s="120" t="s">
        <v>1025</v>
      </c>
      <c r="J3" s="134" t="s">
        <v>1030</v>
      </c>
    </row>
    <row r="4" spans="1:10">
      <c r="A4" s="80">
        <v>3</v>
      </c>
      <c r="B4" s="92" t="s">
        <v>10</v>
      </c>
      <c r="C4" s="98">
        <v>0.2</v>
      </c>
      <c r="D4" s="99">
        <f t="shared" si="0"/>
        <v>0.26</v>
      </c>
      <c r="G4" s="80">
        <v>3</v>
      </c>
      <c r="H4" s="101" t="s">
        <v>11</v>
      </c>
      <c r="I4" s="120" t="s">
        <v>1026</v>
      </c>
      <c r="J4" s="134" t="s">
        <v>1032</v>
      </c>
    </row>
    <row r="5" spans="1:10">
      <c r="A5" s="80">
        <v>4</v>
      </c>
      <c r="B5" s="92" t="s">
        <v>12</v>
      </c>
      <c r="C5" s="98">
        <v>1</v>
      </c>
      <c r="D5" s="99">
        <f t="shared" si="0"/>
        <v>1.3</v>
      </c>
      <c r="G5" s="80">
        <v>4</v>
      </c>
      <c r="H5" s="101" t="s">
        <v>13</v>
      </c>
      <c r="I5" s="120" t="s">
        <v>1027</v>
      </c>
      <c r="J5" s="134" t="s">
        <v>1031</v>
      </c>
    </row>
    <row r="6" spans="1:10">
      <c r="A6" s="80">
        <v>5</v>
      </c>
      <c r="B6" s="92" t="s">
        <v>14</v>
      </c>
      <c r="C6" s="98">
        <v>2</v>
      </c>
      <c r="D6" s="99">
        <f t="shared" si="0"/>
        <v>2.6</v>
      </c>
      <c r="G6" s="80">
        <v>5</v>
      </c>
      <c r="H6" s="101" t="s">
        <v>15</v>
      </c>
      <c r="I6" s="120" t="s">
        <v>1024</v>
      </c>
      <c r="J6" s="134" t="s">
        <v>1029</v>
      </c>
    </row>
    <row r="7" spans="1:10">
      <c r="A7" s="80">
        <v>6</v>
      </c>
      <c r="B7" s="92" t="s">
        <v>16</v>
      </c>
      <c r="C7" s="98">
        <v>1</v>
      </c>
      <c r="D7" s="99">
        <f t="shared" si="0"/>
        <v>1.3</v>
      </c>
      <c r="G7" s="80">
        <v>6</v>
      </c>
      <c r="H7" s="101" t="s">
        <v>17</v>
      </c>
      <c r="I7" s="120" t="s">
        <v>1025</v>
      </c>
      <c r="J7" s="134" t="s">
        <v>1030</v>
      </c>
    </row>
    <row r="8" spans="1:10">
      <c r="A8" s="80">
        <v>7</v>
      </c>
      <c r="B8" s="92" t="s">
        <v>18</v>
      </c>
      <c r="C8" s="98">
        <v>2</v>
      </c>
      <c r="D8" s="99">
        <f t="shared" si="0"/>
        <v>2.6</v>
      </c>
      <c r="G8" s="80">
        <v>7</v>
      </c>
      <c r="H8" s="101" t="s">
        <v>19</v>
      </c>
      <c r="I8" s="120" t="s">
        <v>1026</v>
      </c>
      <c r="J8" s="134" t="s">
        <v>1032</v>
      </c>
    </row>
    <row r="9" spans="1:10">
      <c r="A9" s="80">
        <v>8</v>
      </c>
      <c r="B9" s="92" t="s">
        <v>20</v>
      </c>
      <c r="C9" s="98">
        <v>1</v>
      </c>
      <c r="D9" s="99">
        <f t="shared" si="0"/>
        <v>1.3</v>
      </c>
      <c r="G9" s="80">
        <v>8</v>
      </c>
      <c r="H9" s="101" t="s">
        <v>21</v>
      </c>
      <c r="I9" s="120" t="s">
        <v>1027</v>
      </c>
      <c r="J9" s="134" t="s">
        <v>1031</v>
      </c>
    </row>
    <row r="10" spans="1:10">
      <c r="A10" s="80">
        <v>9</v>
      </c>
      <c r="B10" s="92" t="s">
        <v>22</v>
      </c>
      <c r="C10" s="98">
        <v>1</v>
      </c>
      <c r="D10" s="99">
        <f t="shared" si="0"/>
        <v>1.3</v>
      </c>
      <c r="G10" s="80">
        <v>9</v>
      </c>
      <c r="H10" s="101" t="s">
        <v>23</v>
      </c>
      <c r="I10" s="120" t="s">
        <v>1024</v>
      </c>
      <c r="J10" s="134" t="s">
        <v>1029</v>
      </c>
    </row>
    <row r="11" spans="1:10">
      <c r="A11" s="80">
        <v>10</v>
      </c>
      <c r="B11" s="92" t="s">
        <v>24</v>
      </c>
      <c r="C11" s="98">
        <v>0.5</v>
      </c>
      <c r="D11" s="99">
        <f t="shared" si="0"/>
        <v>0.65</v>
      </c>
      <c r="G11" s="80">
        <v>10</v>
      </c>
      <c r="H11" s="101" t="s">
        <v>25</v>
      </c>
      <c r="I11" s="120" t="s">
        <v>1025</v>
      </c>
      <c r="J11" s="134" t="s">
        <v>1030</v>
      </c>
    </row>
    <row r="12" spans="1:10">
      <c r="A12" s="80">
        <v>11</v>
      </c>
      <c r="B12" s="92" t="s">
        <v>26</v>
      </c>
      <c r="C12" s="98">
        <v>2</v>
      </c>
      <c r="D12" s="99">
        <f t="shared" si="0"/>
        <v>2.6</v>
      </c>
      <c r="G12" s="80">
        <v>11</v>
      </c>
      <c r="H12" s="101" t="s">
        <v>27</v>
      </c>
      <c r="I12" s="120" t="s">
        <v>1026</v>
      </c>
      <c r="J12" s="134" t="s">
        <v>1032</v>
      </c>
    </row>
    <row r="13" spans="1:10">
      <c r="A13" s="80">
        <v>12</v>
      </c>
      <c r="B13" s="92" t="s">
        <v>28</v>
      </c>
      <c r="C13" s="98">
        <v>1.5</v>
      </c>
      <c r="D13" s="99">
        <f t="shared" si="0"/>
        <v>1.95</v>
      </c>
      <c r="G13" s="80">
        <v>12</v>
      </c>
      <c r="H13" s="101" t="s">
        <v>29</v>
      </c>
      <c r="I13" s="120" t="s">
        <v>1027</v>
      </c>
      <c r="J13" s="134" t="s">
        <v>1031</v>
      </c>
    </row>
    <row r="14" spans="1:10">
      <c r="A14" s="80">
        <v>13</v>
      </c>
      <c r="B14" s="92" t="s">
        <v>30</v>
      </c>
      <c r="C14" s="98">
        <v>0.5</v>
      </c>
      <c r="D14" s="99">
        <f t="shared" si="0"/>
        <v>0.65</v>
      </c>
      <c r="G14" s="80">
        <v>13</v>
      </c>
      <c r="H14" s="101" t="s">
        <v>31</v>
      </c>
      <c r="I14" s="120" t="s">
        <v>1024</v>
      </c>
      <c r="J14" s="134" t="s">
        <v>1029</v>
      </c>
    </row>
    <row r="15" spans="1:10">
      <c r="A15" s="80">
        <v>14</v>
      </c>
      <c r="B15" s="92" t="s">
        <v>32</v>
      </c>
      <c r="C15" s="98">
        <v>0.5</v>
      </c>
      <c r="D15" s="99">
        <f t="shared" si="0"/>
        <v>0.65</v>
      </c>
      <c r="G15" s="80">
        <v>14</v>
      </c>
      <c r="H15" s="101" t="s">
        <v>33</v>
      </c>
      <c r="I15" s="120" t="s">
        <v>1025</v>
      </c>
      <c r="J15" s="134" t="s">
        <v>1030</v>
      </c>
    </row>
    <row r="16" spans="1:10">
      <c r="A16" s="80">
        <v>15</v>
      </c>
      <c r="B16" s="101" t="s">
        <v>34</v>
      </c>
      <c r="C16" s="98">
        <v>1.5</v>
      </c>
      <c r="D16" s="99">
        <f t="shared" si="0"/>
        <v>1.95</v>
      </c>
      <c r="G16" s="80">
        <v>15</v>
      </c>
      <c r="H16" s="101" t="s">
        <v>35</v>
      </c>
      <c r="I16" s="120" t="s">
        <v>1026</v>
      </c>
      <c r="J16" s="134" t="s">
        <v>1032</v>
      </c>
    </row>
    <row r="17" spans="1:10">
      <c r="A17" s="80">
        <v>16</v>
      </c>
      <c r="B17" s="101" t="s">
        <v>36</v>
      </c>
      <c r="C17" s="98">
        <v>0.5</v>
      </c>
      <c r="D17" s="99">
        <f t="shared" si="0"/>
        <v>0.65</v>
      </c>
      <c r="G17" s="80">
        <v>16</v>
      </c>
      <c r="H17" s="101" t="s">
        <v>37</v>
      </c>
      <c r="I17" s="120" t="s">
        <v>1027</v>
      </c>
      <c r="J17" s="134" t="s">
        <v>1031</v>
      </c>
    </row>
    <row r="18" spans="1:10">
      <c r="A18" s="80">
        <v>17</v>
      </c>
      <c r="B18" s="101" t="s">
        <v>38</v>
      </c>
      <c r="C18" s="98">
        <v>1.5</v>
      </c>
      <c r="D18" s="99">
        <f t="shared" si="0"/>
        <v>1.95</v>
      </c>
      <c r="G18" s="80">
        <v>17</v>
      </c>
      <c r="H18" s="101" t="s">
        <v>39</v>
      </c>
      <c r="I18" s="120" t="s">
        <v>1024</v>
      </c>
      <c r="J18" s="134" t="s">
        <v>1029</v>
      </c>
    </row>
    <row r="19" spans="1:10">
      <c r="A19" s="80">
        <v>18</v>
      </c>
      <c r="B19" s="101" t="s">
        <v>40</v>
      </c>
      <c r="C19" s="98">
        <v>0.3</v>
      </c>
      <c r="D19" s="99">
        <f t="shared" si="0"/>
        <v>0.39</v>
      </c>
      <c r="G19" s="80">
        <v>18</v>
      </c>
      <c r="H19" s="101" t="s">
        <v>41</v>
      </c>
      <c r="I19" s="120" t="s">
        <v>1025</v>
      </c>
      <c r="J19" s="134" t="s">
        <v>1030</v>
      </c>
    </row>
    <row r="20" spans="1:10">
      <c r="A20" s="80">
        <v>19</v>
      </c>
      <c r="B20" s="101" t="s">
        <v>42</v>
      </c>
      <c r="C20" s="98">
        <v>0.2</v>
      </c>
      <c r="D20" s="99">
        <f t="shared" si="0"/>
        <v>0.26</v>
      </c>
      <c r="G20" s="80">
        <v>19</v>
      </c>
      <c r="H20" s="101" t="s">
        <v>43</v>
      </c>
      <c r="I20" s="120" t="s">
        <v>1026</v>
      </c>
      <c r="J20" s="134" t="s">
        <v>1032</v>
      </c>
    </row>
    <row r="21" spans="1:10">
      <c r="A21" s="80">
        <v>20</v>
      </c>
      <c r="B21" s="101" t="s">
        <v>44</v>
      </c>
      <c r="C21" s="98">
        <v>0.2</v>
      </c>
      <c r="D21" s="99">
        <f t="shared" si="0"/>
        <v>0.26</v>
      </c>
      <c r="G21" s="80">
        <v>20</v>
      </c>
      <c r="H21" s="101" t="s">
        <v>45</v>
      </c>
      <c r="I21" s="120" t="s">
        <v>1027</v>
      </c>
      <c r="J21" s="134" t="s">
        <v>1031</v>
      </c>
    </row>
    <row r="22" spans="1:10">
      <c r="A22" s="80">
        <v>21</v>
      </c>
      <c r="B22" s="101" t="s">
        <v>46</v>
      </c>
      <c r="C22" s="98">
        <v>0.2</v>
      </c>
      <c r="D22" s="99">
        <f t="shared" si="0"/>
        <v>0.26</v>
      </c>
      <c r="G22" s="80">
        <v>21</v>
      </c>
      <c r="H22" s="101" t="s">
        <v>47</v>
      </c>
      <c r="I22" s="120" t="s">
        <v>1024</v>
      </c>
      <c r="J22" s="134" t="s">
        <v>1029</v>
      </c>
    </row>
    <row r="23" spans="1:10">
      <c r="A23" s="80">
        <v>22</v>
      </c>
      <c r="B23" s="101" t="s">
        <v>1045</v>
      </c>
      <c r="C23" s="98">
        <v>0.5</v>
      </c>
      <c r="D23" s="99">
        <f t="shared" ref="D23:D24" si="1">C23+(C23*30%)</f>
        <v>0.65</v>
      </c>
      <c r="G23" s="80">
        <v>22</v>
      </c>
      <c r="H23" s="101" t="s">
        <v>48</v>
      </c>
      <c r="I23" s="120" t="s">
        <v>1025</v>
      </c>
      <c r="J23" s="134" t="s">
        <v>1030</v>
      </c>
    </row>
    <row r="24" spans="1:10" ht="15" thickBot="1">
      <c r="A24" s="94">
        <v>23</v>
      </c>
      <c r="B24" s="102" t="s">
        <v>1051</v>
      </c>
      <c r="C24" s="102">
        <v>0.3</v>
      </c>
      <c r="D24" s="136">
        <f t="shared" si="1"/>
        <v>0.39</v>
      </c>
      <c r="G24" s="80">
        <v>23</v>
      </c>
      <c r="H24" s="101" t="s">
        <v>49</v>
      </c>
      <c r="I24" s="120" t="s">
        <v>1026</v>
      </c>
      <c r="J24" s="134" t="s">
        <v>1032</v>
      </c>
    </row>
    <row r="25" spans="1:10">
      <c r="A25" s="103"/>
      <c r="B25" s="103"/>
      <c r="C25" s="103"/>
      <c r="G25" s="80">
        <v>24</v>
      </c>
      <c r="H25" s="101" t="s">
        <v>50</v>
      </c>
      <c r="I25" s="120" t="s">
        <v>1027</v>
      </c>
      <c r="J25" s="134" t="s">
        <v>1031</v>
      </c>
    </row>
    <row r="26" spans="1:10">
      <c r="C26" s="75"/>
      <c r="G26" s="80">
        <v>25</v>
      </c>
      <c r="H26" s="101" t="s">
        <v>51</v>
      </c>
      <c r="I26" s="120" t="s">
        <v>1024</v>
      </c>
      <c r="J26" s="134" t="s">
        <v>1029</v>
      </c>
    </row>
    <row r="27" spans="1:10">
      <c r="C27" s="75"/>
      <c r="G27" s="80">
        <v>26</v>
      </c>
      <c r="H27" s="101" t="s">
        <v>52</v>
      </c>
      <c r="I27" s="120" t="s">
        <v>1025</v>
      </c>
      <c r="J27" s="134" t="s">
        <v>1030</v>
      </c>
    </row>
    <row r="28" spans="1:10">
      <c r="C28" s="75"/>
      <c r="G28" s="80">
        <v>27</v>
      </c>
      <c r="H28" s="101" t="s">
        <v>53</v>
      </c>
      <c r="I28" s="120" t="s">
        <v>1026</v>
      </c>
      <c r="J28" s="134" t="s">
        <v>1032</v>
      </c>
    </row>
    <row r="29" spans="1:10">
      <c r="C29" s="75"/>
      <c r="G29" s="80">
        <v>28</v>
      </c>
      <c r="H29" s="101" t="s">
        <v>54</v>
      </c>
      <c r="I29" s="120" t="s">
        <v>1027</v>
      </c>
      <c r="J29" s="134" t="s">
        <v>1031</v>
      </c>
    </row>
    <row r="30" spans="1:10">
      <c r="C30" s="75"/>
      <c r="G30" s="80">
        <v>29</v>
      </c>
      <c r="H30" s="101" t="s">
        <v>55</v>
      </c>
      <c r="I30" s="120" t="s">
        <v>1024</v>
      </c>
      <c r="J30" s="134" t="s">
        <v>1029</v>
      </c>
    </row>
    <row r="31" spans="1:10">
      <c r="C31" s="75"/>
      <c r="G31" s="80">
        <v>30</v>
      </c>
      <c r="H31" s="101" t="s">
        <v>56</v>
      </c>
      <c r="I31" s="120" t="s">
        <v>1025</v>
      </c>
      <c r="J31" s="134" t="s">
        <v>1030</v>
      </c>
    </row>
    <row r="32" spans="1:10">
      <c r="C32" s="75"/>
      <c r="G32" s="80">
        <v>31</v>
      </c>
      <c r="H32" s="101" t="s">
        <v>57</v>
      </c>
      <c r="I32" s="120" t="s">
        <v>1026</v>
      </c>
      <c r="J32" s="134" t="s">
        <v>1032</v>
      </c>
    </row>
    <row r="33" spans="3:13">
      <c r="C33" s="75"/>
      <c r="G33" s="80">
        <v>32</v>
      </c>
      <c r="H33" s="101" t="s">
        <v>58</v>
      </c>
      <c r="I33" s="120" t="s">
        <v>1027</v>
      </c>
      <c r="J33" s="134" t="s">
        <v>1031</v>
      </c>
    </row>
    <row r="34" spans="3:13">
      <c r="C34" s="75"/>
      <c r="G34" s="80">
        <v>33</v>
      </c>
      <c r="H34" s="101" t="s">
        <v>59</v>
      </c>
      <c r="I34" s="120" t="s">
        <v>1024</v>
      </c>
      <c r="J34" s="134" t="s">
        <v>1029</v>
      </c>
    </row>
    <row r="35" spans="3:13">
      <c r="C35" s="75"/>
      <c r="G35" s="80">
        <v>34</v>
      </c>
      <c r="H35" s="101" t="s">
        <v>60</v>
      </c>
      <c r="I35" s="120" t="s">
        <v>1025</v>
      </c>
      <c r="J35" s="134" t="s">
        <v>1030</v>
      </c>
    </row>
    <row r="36" spans="3:13">
      <c r="C36" s="75"/>
      <c r="G36" s="80">
        <v>35</v>
      </c>
      <c r="H36" s="101" t="s">
        <v>61</v>
      </c>
      <c r="I36" s="120" t="s">
        <v>1026</v>
      </c>
      <c r="J36" s="134" t="s">
        <v>1032</v>
      </c>
      <c r="M36" s="100" t="s">
        <v>1033</v>
      </c>
    </row>
    <row r="37" spans="3:13">
      <c r="C37" s="75"/>
      <c r="G37" s="80">
        <v>36</v>
      </c>
      <c r="H37" s="101" t="s">
        <v>62</v>
      </c>
      <c r="I37" s="120" t="s">
        <v>1027</v>
      </c>
      <c r="J37" s="134" t="s">
        <v>1031</v>
      </c>
    </row>
    <row r="38" spans="3:13">
      <c r="C38" s="75"/>
      <c r="G38" s="80">
        <v>37</v>
      </c>
      <c r="H38" s="101" t="s">
        <v>63</v>
      </c>
      <c r="I38" s="120" t="s">
        <v>1024</v>
      </c>
      <c r="J38" s="134" t="s">
        <v>1029</v>
      </c>
    </row>
    <row r="39" spans="3:13">
      <c r="C39" s="75"/>
      <c r="G39" s="80">
        <v>38</v>
      </c>
      <c r="H39" s="101" t="s">
        <v>64</v>
      </c>
      <c r="I39" s="120" t="s">
        <v>1025</v>
      </c>
      <c r="J39" s="134" t="s">
        <v>1030</v>
      </c>
    </row>
    <row r="40" spans="3:13">
      <c r="C40" s="75"/>
      <c r="G40" s="80">
        <v>39</v>
      </c>
      <c r="H40" s="101" t="s">
        <v>65</v>
      </c>
      <c r="I40" s="120" t="s">
        <v>1026</v>
      </c>
      <c r="J40" s="134" t="s">
        <v>1032</v>
      </c>
    </row>
    <row r="41" spans="3:13">
      <c r="C41" s="75"/>
      <c r="G41" s="80">
        <v>40</v>
      </c>
      <c r="H41" s="101" t="s">
        <v>66</v>
      </c>
      <c r="I41" s="120" t="s">
        <v>1024</v>
      </c>
      <c r="J41" s="134" t="s">
        <v>1029</v>
      </c>
    </row>
    <row r="42" spans="3:13" ht="15" thickBot="1">
      <c r="C42" s="75"/>
      <c r="G42" s="94">
        <v>41</v>
      </c>
      <c r="H42" s="102" t="s">
        <v>67</v>
      </c>
      <c r="I42" s="128" t="s">
        <v>1027</v>
      </c>
      <c r="J42" s="135" t="s">
        <v>1031</v>
      </c>
    </row>
    <row r="43" spans="3:13">
      <c r="C43" s="75"/>
    </row>
    <row r="44" spans="3:13">
      <c r="C44" s="75"/>
    </row>
    <row r="45" spans="3:13">
      <c r="C45" s="75"/>
    </row>
    <row r="46" spans="3:13">
      <c r="C46" s="75"/>
    </row>
    <row r="47" spans="3:13">
      <c r="C47" s="75"/>
    </row>
    <row r="48" spans="3:13">
      <c r="C48" s="75"/>
    </row>
    <row r="49" spans="3:3">
      <c r="C49" s="75"/>
    </row>
    <row r="50" spans="3:3">
      <c r="C50" s="75"/>
    </row>
    <row r="51" spans="3:3">
      <c r="C51" s="75"/>
    </row>
    <row r="52" spans="3:3">
      <c r="C52" s="75"/>
    </row>
    <row r="53" spans="3:3">
      <c r="C53" s="75"/>
    </row>
    <row r="54" spans="3:3">
      <c r="C54" s="75"/>
    </row>
    <row r="55" spans="3:3">
      <c r="C55" s="75"/>
    </row>
    <row r="56" spans="3:3">
      <c r="C56" s="75"/>
    </row>
    <row r="57" spans="3:3">
      <c r="C57" s="75"/>
    </row>
    <row r="58" spans="3:3">
      <c r="C58" s="75"/>
    </row>
    <row r="59" spans="3:3">
      <c r="C59" s="75"/>
    </row>
    <row r="60" spans="3:3">
      <c r="C60" s="75"/>
    </row>
    <row r="61" spans="3:3">
      <c r="C61" s="75"/>
    </row>
    <row r="62" spans="3:3">
      <c r="C62" s="75"/>
    </row>
    <row r="63" spans="3:3">
      <c r="C63" s="75"/>
    </row>
    <row r="64" spans="3:3">
      <c r="C64" s="75"/>
    </row>
    <row r="65" spans="3:3">
      <c r="C65" s="75"/>
    </row>
    <row r="66" spans="3:3">
      <c r="C66" s="75"/>
    </row>
  </sheetData>
  <hyperlinks>
    <hyperlink ref="J2" r:id="rId1" xr:uid="{AEB34F6F-CFA7-40EB-BA41-36EEAFD53B5F}"/>
    <hyperlink ref="J3" r:id="rId2" xr:uid="{F358D87A-0117-4065-B511-2D1E0FA2AE06}"/>
    <hyperlink ref="J5" r:id="rId3" xr:uid="{DD359AEB-F676-454A-B7AE-02407E10F507}"/>
    <hyperlink ref="J4" r:id="rId4" xr:uid="{1FE546E1-30B8-426B-A45E-F3753AC32E52}"/>
    <hyperlink ref="J6" r:id="rId5" xr:uid="{266C0779-94BE-425F-8F5B-BB85157B6AA3}"/>
    <hyperlink ref="J10" r:id="rId6" xr:uid="{5CF733D2-3487-48EF-AD0D-48579A436A8D}"/>
    <hyperlink ref="J14" r:id="rId7" xr:uid="{41CF4F84-B3EB-4E6F-AA3C-D715C38AF11A}"/>
    <hyperlink ref="J18" r:id="rId8" xr:uid="{6621B21A-15F8-40A8-93D6-1BBC434B7434}"/>
    <hyperlink ref="J22" r:id="rId9" xr:uid="{3B6E86E3-8C9C-4D53-9D28-9F5CBFBC801D}"/>
    <hyperlink ref="J26" r:id="rId10" xr:uid="{C7655CB0-2767-4182-8832-5357AEF7EAAD}"/>
    <hyperlink ref="J30" r:id="rId11" xr:uid="{4AC88D8B-DBDB-4F2E-8865-89D0F3186A0B}"/>
    <hyperlink ref="J34" r:id="rId12" xr:uid="{CE2A1D5B-6781-4097-995D-641CD7D45666}"/>
    <hyperlink ref="J38" r:id="rId13" xr:uid="{6013C64B-AF7A-465C-80FE-5CF7AABF82AB}"/>
    <hyperlink ref="J7" r:id="rId14" xr:uid="{18A142E6-18FC-45E4-BB8D-2AD24179BCF0}"/>
    <hyperlink ref="J11" r:id="rId15" xr:uid="{7301E733-42AA-494E-901A-B6038730EF11}"/>
    <hyperlink ref="J15" r:id="rId16" xr:uid="{65ED79AA-A960-4087-BE89-3CB541CC4B5E}"/>
    <hyperlink ref="J19" r:id="rId17" xr:uid="{9ACCD78F-595D-457E-8EE6-203C9A8E1620}"/>
    <hyperlink ref="J23" r:id="rId18" xr:uid="{66A22C8E-E7F9-40BD-A310-4779F50F6AD1}"/>
    <hyperlink ref="J27" r:id="rId19" xr:uid="{512D4694-5B66-4916-8E34-9F6A77CDD238}"/>
    <hyperlink ref="J31" r:id="rId20" xr:uid="{4A840B5B-D0C1-4100-BD2D-99BF18511E40}"/>
    <hyperlink ref="J35" r:id="rId21" xr:uid="{E7963552-4F53-4D81-893A-1396263BB4CF}"/>
    <hyperlink ref="J39" r:id="rId22" xr:uid="{BB31A013-51EF-409D-B5FF-C56695C4488B}"/>
    <hyperlink ref="J9" r:id="rId23" xr:uid="{838D6D99-49C2-4964-A217-957D7A2C2CFB}"/>
    <hyperlink ref="J13" r:id="rId24" xr:uid="{0A925D02-39E6-46A5-8A12-5831D5BB0984}"/>
    <hyperlink ref="J17" r:id="rId25" xr:uid="{4A38CFA8-DCB9-4370-9680-55F529693AF0}"/>
    <hyperlink ref="J21" r:id="rId26" xr:uid="{4913015C-88BA-424E-BAE6-90DC999ED4ED}"/>
    <hyperlink ref="J25" r:id="rId27" xr:uid="{5D1BCD74-25FA-4323-904E-B650FE7D47CF}"/>
    <hyperlink ref="J29" r:id="rId28" xr:uid="{2D3AE56E-6378-4E86-8947-6418D58B2E8A}"/>
    <hyperlink ref="J33" r:id="rId29" xr:uid="{7FE49FB8-2A5E-48F6-BA3F-E8325B45C89A}"/>
    <hyperlink ref="J37" r:id="rId30" xr:uid="{D9523F1C-7607-4E3E-AC0D-088A99707483}"/>
    <hyperlink ref="J8" r:id="rId31" xr:uid="{70F325DA-606E-44DE-A871-07359041B4FD}"/>
    <hyperlink ref="J12" r:id="rId32" xr:uid="{464ACD28-BD5F-4A70-8ABB-D6BFD5878565}"/>
    <hyperlink ref="J16" r:id="rId33" xr:uid="{8E65A72B-8BF0-4107-846A-AD4FB2537B3A}"/>
    <hyperlink ref="J20" r:id="rId34" xr:uid="{0FCAC694-F44F-4F37-AAFC-3549AEBF452F}"/>
    <hyperlink ref="J24" r:id="rId35" xr:uid="{26816F14-B841-4EEF-A181-5C5C724A2BB8}"/>
    <hyperlink ref="J28" r:id="rId36" xr:uid="{D8C8D174-0C76-4021-A004-D7F499084916}"/>
    <hyperlink ref="J32" r:id="rId37" xr:uid="{2DA9C23F-01F1-4A65-AE51-D7C0FC324A07}"/>
    <hyperlink ref="J36" r:id="rId38" xr:uid="{D89038CC-C240-4DCC-89A7-DCEDA3BB4740}"/>
    <hyperlink ref="J40" r:id="rId39" xr:uid="{B2FA24C3-3E23-45FB-B64A-0E13D1CA90EE}"/>
    <hyperlink ref="J41" r:id="rId40" xr:uid="{C85BA079-882C-4C7C-845F-37FCB38A38B6}"/>
    <hyperlink ref="J42" r:id="rId41" xr:uid="{63BDC06F-D727-4F16-ADF9-4D02CA1696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7" tint="0.59999389629810485"/>
  </sheetPr>
  <dimension ref="A1:AN123"/>
  <sheetViews>
    <sheetView zoomScale="55" zoomScaleNormal="55" workbookViewId="0">
      <pane ySplit="4" topLeftCell="A5" activePane="bottomLeft" state="frozen"/>
      <selection pane="bottomLeft" activeCell="E47" sqref="E47:E48"/>
    </sheetView>
  </sheetViews>
  <sheetFormatPr defaultColWidth="8.88671875" defaultRowHeight="15.6"/>
  <cols>
    <col min="1" max="1" width="8.88671875" style="81"/>
    <col min="2" max="2" width="14.21875" style="81" customWidth="1"/>
    <col min="3" max="3" width="18" style="81" customWidth="1"/>
    <col min="4" max="5" width="23.21875" style="81" customWidth="1"/>
    <col min="6" max="6" width="35.77734375" style="81" customWidth="1"/>
    <col min="7" max="7" width="65" style="81" customWidth="1"/>
    <col min="8" max="8" width="21.77734375" style="81" customWidth="1"/>
    <col min="9" max="9" width="21.109375" style="81" customWidth="1"/>
    <col min="10" max="10" width="20.109375" style="81" customWidth="1"/>
    <col min="11" max="11" width="28.77734375" style="81" customWidth="1"/>
    <col min="12" max="12" width="12" style="81" customWidth="1"/>
    <col min="13" max="13" width="26.77734375" style="81" customWidth="1"/>
    <col min="14" max="14" width="24.77734375" style="81" customWidth="1"/>
    <col min="15" max="15" width="19.33203125" style="81" customWidth="1"/>
    <col min="16" max="16" width="17.77734375" style="81" customWidth="1"/>
    <col min="17" max="18" width="17.88671875" style="81" customWidth="1"/>
    <col min="19" max="19" width="26.33203125" style="81" customWidth="1"/>
    <col min="20" max="20" width="21.77734375" style="81" customWidth="1"/>
    <col min="21" max="21" width="13" style="81" customWidth="1"/>
    <col min="22" max="22" width="22.109375" style="81" customWidth="1"/>
    <col min="23" max="23" width="13.33203125" style="81" customWidth="1"/>
    <col min="24" max="24" width="12.77734375" style="81" customWidth="1"/>
    <col min="25" max="25" width="13.33203125" style="81" customWidth="1"/>
    <col min="26" max="26" width="16.6640625" style="81" customWidth="1"/>
    <col min="27" max="27" width="13.21875" style="81" customWidth="1"/>
    <col min="28" max="28" width="13.77734375" style="81" customWidth="1"/>
    <col min="29" max="29" width="9.6640625" style="81" customWidth="1"/>
    <col min="30" max="30" width="10.33203125" style="81" customWidth="1"/>
    <col min="31" max="31" width="12" style="81" customWidth="1"/>
    <col min="32" max="32" width="10.77734375" style="81" customWidth="1"/>
    <col min="33" max="33" width="8.88671875" style="81"/>
    <col min="34" max="34" width="10.33203125" style="81" customWidth="1"/>
    <col min="35" max="38" width="8.88671875" style="81"/>
    <col min="39" max="39" width="15.109375" style="81" customWidth="1"/>
    <col min="40" max="40" width="18.6640625" style="81" customWidth="1"/>
    <col min="41" max="16384" width="8.88671875" style="81"/>
  </cols>
  <sheetData>
    <row r="1" spans="1:40">
      <c r="A1" s="145" t="s">
        <v>68</v>
      </c>
      <c r="B1" s="145"/>
      <c r="C1" s="145"/>
    </row>
    <row r="2" spans="1:40" ht="16.2" thickBot="1">
      <c r="A2" s="146"/>
      <c r="B2" s="146"/>
      <c r="C2" s="146"/>
    </row>
    <row r="3" spans="1:40">
      <c r="A3" s="151" t="s">
        <v>69</v>
      </c>
      <c r="B3" s="153" t="s">
        <v>70</v>
      </c>
      <c r="C3" s="153" t="s">
        <v>71</v>
      </c>
      <c r="D3" s="153" t="s">
        <v>72</v>
      </c>
      <c r="E3" s="156" t="s">
        <v>1035</v>
      </c>
      <c r="F3" s="153" t="s">
        <v>73</v>
      </c>
      <c r="G3" s="153" t="s">
        <v>74</v>
      </c>
      <c r="H3" s="153" t="s">
        <v>75</v>
      </c>
      <c r="I3" s="153" t="s">
        <v>76</v>
      </c>
      <c r="J3" s="153" t="s">
        <v>77</v>
      </c>
      <c r="K3" s="153" t="s">
        <v>78</v>
      </c>
      <c r="L3" s="153" t="s">
        <v>79</v>
      </c>
      <c r="M3" s="153" t="s">
        <v>80</v>
      </c>
      <c r="N3" s="153" t="s">
        <v>81</v>
      </c>
      <c r="O3" s="153" t="s">
        <v>34</v>
      </c>
      <c r="P3" s="153" t="s">
        <v>82</v>
      </c>
      <c r="Q3" s="153"/>
      <c r="R3" s="153"/>
      <c r="S3" s="153" t="s">
        <v>83</v>
      </c>
      <c r="T3" s="153"/>
      <c r="U3" s="153"/>
      <c r="V3" s="153" t="s">
        <v>84</v>
      </c>
      <c r="W3" s="153" t="s">
        <v>85</v>
      </c>
      <c r="X3" s="153"/>
      <c r="Y3" s="153"/>
      <c r="Z3" s="153" t="s">
        <v>86</v>
      </c>
      <c r="AA3" s="153" t="s">
        <v>87</v>
      </c>
      <c r="AB3" s="153"/>
      <c r="AC3" s="153" t="s">
        <v>88</v>
      </c>
      <c r="AD3" s="153"/>
      <c r="AE3" s="153"/>
      <c r="AF3" s="153"/>
      <c r="AG3" s="153"/>
      <c r="AH3" s="153"/>
      <c r="AI3" s="153"/>
      <c r="AJ3" s="153" t="s">
        <v>89</v>
      </c>
      <c r="AK3" s="153"/>
      <c r="AL3" s="153"/>
      <c r="AM3" s="153" t="s">
        <v>90</v>
      </c>
      <c r="AN3" s="155"/>
    </row>
    <row r="4" spans="1:40" ht="31.2">
      <c r="A4" s="152"/>
      <c r="B4" s="154"/>
      <c r="C4" s="154"/>
      <c r="D4" s="154"/>
      <c r="E4" s="157"/>
      <c r="F4" s="154"/>
      <c r="G4" s="154"/>
      <c r="H4" s="154"/>
      <c r="I4" s="154"/>
      <c r="J4" s="154"/>
      <c r="K4" s="154"/>
      <c r="L4" s="154"/>
      <c r="M4" s="154"/>
      <c r="N4" s="154"/>
      <c r="O4" s="154"/>
      <c r="P4" s="82" t="s">
        <v>91</v>
      </c>
      <c r="Q4" s="82" t="s">
        <v>92</v>
      </c>
      <c r="R4" s="82" t="s">
        <v>93</v>
      </c>
      <c r="S4" s="82" t="s">
        <v>94</v>
      </c>
      <c r="T4" s="82" t="s">
        <v>95</v>
      </c>
      <c r="U4" s="82" t="s">
        <v>96</v>
      </c>
      <c r="V4" s="154"/>
      <c r="W4" s="82" t="s">
        <v>97</v>
      </c>
      <c r="X4" s="82" t="s">
        <v>26</v>
      </c>
      <c r="Y4" s="82" t="s">
        <v>98</v>
      </c>
      <c r="Z4" s="154"/>
      <c r="AA4" s="82" t="s">
        <v>99</v>
      </c>
      <c r="AB4" s="82" t="s">
        <v>100</v>
      </c>
      <c r="AC4" s="82" t="s">
        <v>101</v>
      </c>
      <c r="AD4" s="82" t="s">
        <v>40</v>
      </c>
      <c r="AE4" s="82" t="s">
        <v>20</v>
      </c>
      <c r="AF4" s="82" t="s">
        <v>16</v>
      </c>
      <c r="AG4" s="82" t="s">
        <v>22</v>
      </c>
      <c r="AH4" s="82" t="s">
        <v>102</v>
      </c>
      <c r="AI4" s="82" t="s">
        <v>24</v>
      </c>
      <c r="AJ4" s="82" t="s">
        <v>103</v>
      </c>
      <c r="AK4" s="82" t="s">
        <v>104</v>
      </c>
      <c r="AL4" s="82" t="s">
        <v>105</v>
      </c>
      <c r="AM4" s="82" t="s">
        <v>106</v>
      </c>
      <c r="AN4" s="83" t="s">
        <v>107</v>
      </c>
    </row>
    <row r="5" spans="1:40">
      <c r="A5" s="84">
        <v>1</v>
      </c>
      <c r="B5" s="85" t="s">
        <v>108</v>
      </c>
      <c r="C5" s="85" t="s">
        <v>109</v>
      </c>
      <c r="D5" s="85" t="s">
        <v>110</v>
      </c>
      <c r="E5" s="85" t="s">
        <v>99</v>
      </c>
      <c r="F5" s="85" t="s">
        <v>111</v>
      </c>
      <c r="G5" s="86" t="s">
        <v>112</v>
      </c>
      <c r="H5" s="85" t="s">
        <v>113</v>
      </c>
      <c r="I5" s="85" t="s">
        <v>114</v>
      </c>
      <c r="J5" s="85" t="s">
        <v>115</v>
      </c>
      <c r="K5" s="85" t="s">
        <v>116</v>
      </c>
      <c r="L5" s="85" t="s">
        <v>117</v>
      </c>
      <c r="M5" s="85" t="s">
        <v>118</v>
      </c>
      <c r="N5" s="85" t="s">
        <v>119</v>
      </c>
      <c r="O5" s="85" t="s">
        <v>100</v>
      </c>
      <c r="P5" s="85" t="s">
        <v>120</v>
      </c>
      <c r="Q5" s="85"/>
      <c r="R5" s="85" t="s">
        <v>120</v>
      </c>
      <c r="S5" s="85" t="s">
        <v>121</v>
      </c>
      <c r="T5" s="85" t="s">
        <v>122</v>
      </c>
      <c r="U5" s="85" t="s">
        <v>120</v>
      </c>
      <c r="V5" s="85" t="s">
        <v>120</v>
      </c>
      <c r="W5" s="85"/>
      <c r="X5" s="85"/>
      <c r="Y5" s="85"/>
      <c r="Z5" s="85"/>
      <c r="AA5" s="85"/>
      <c r="AB5" s="85"/>
      <c r="AC5" s="85"/>
      <c r="AD5" s="85"/>
      <c r="AE5" s="85"/>
      <c r="AF5" s="85"/>
      <c r="AG5" s="85"/>
      <c r="AH5" s="85"/>
      <c r="AI5" s="85"/>
      <c r="AJ5" s="85"/>
      <c r="AK5" s="85"/>
      <c r="AL5" s="85"/>
      <c r="AM5" s="85"/>
      <c r="AN5" s="87"/>
    </row>
    <row r="6" spans="1:40">
      <c r="A6" s="84">
        <v>2</v>
      </c>
      <c r="B6" s="85" t="s">
        <v>123</v>
      </c>
      <c r="C6" s="85" t="s">
        <v>109</v>
      </c>
      <c r="D6" s="85" t="s">
        <v>110</v>
      </c>
      <c r="E6" s="85"/>
      <c r="F6" s="85" t="s">
        <v>124</v>
      </c>
      <c r="G6" s="86" t="s">
        <v>125</v>
      </c>
      <c r="H6" s="85" t="s">
        <v>126</v>
      </c>
      <c r="I6" s="85" t="s">
        <v>127</v>
      </c>
      <c r="J6" s="85" t="s">
        <v>115</v>
      </c>
      <c r="K6" s="85" t="s">
        <v>128</v>
      </c>
      <c r="L6" s="85" t="s">
        <v>129</v>
      </c>
      <c r="M6" s="85" t="s">
        <v>130</v>
      </c>
      <c r="N6" s="85"/>
      <c r="O6" s="85"/>
      <c r="P6" s="85" t="s">
        <v>120</v>
      </c>
      <c r="Q6" s="85" t="s">
        <v>120</v>
      </c>
      <c r="R6" s="85" t="s">
        <v>120</v>
      </c>
      <c r="S6" s="85" t="s">
        <v>131</v>
      </c>
      <c r="T6" s="85" t="s">
        <v>132</v>
      </c>
      <c r="U6" s="85" t="s">
        <v>120</v>
      </c>
      <c r="V6" s="85" t="s">
        <v>120</v>
      </c>
      <c r="W6" s="85" t="s">
        <v>133</v>
      </c>
      <c r="X6" s="85"/>
      <c r="Y6" s="85"/>
      <c r="Z6" s="85" t="s">
        <v>134</v>
      </c>
      <c r="AA6" s="85"/>
      <c r="AB6" s="85" t="s">
        <v>133</v>
      </c>
      <c r="AC6" s="85"/>
      <c r="AD6" s="85"/>
      <c r="AE6" s="85"/>
      <c r="AF6" s="85"/>
      <c r="AG6" s="85"/>
      <c r="AH6" s="85"/>
      <c r="AI6" s="85"/>
      <c r="AJ6" s="85"/>
      <c r="AK6" s="85"/>
      <c r="AL6" s="85"/>
      <c r="AM6" s="85"/>
      <c r="AN6" s="87"/>
    </row>
    <row r="7" spans="1:40">
      <c r="A7" s="84">
        <v>3</v>
      </c>
      <c r="B7" s="85" t="s">
        <v>135</v>
      </c>
      <c r="C7" s="85" t="s">
        <v>109</v>
      </c>
      <c r="D7" s="85" t="s">
        <v>110</v>
      </c>
      <c r="E7" s="85" t="s">
        <v>1036</v>
      </c>
      <c r="F7" s="85" t="s">
        <v>136</v>
      </c>
      <c r="G7" s="86" t="s">
        <v>137</v>
      </c>
      <c r="H7" s="85" t="s">
        <v>138</v>
      </c>
      <c r="I7" s="85" t="s">
        <v>114</v>
      </c>
      <c r="J7" s="85" t="s">
        <v>115</v>
      </c>
      <c r="K7" s="85" t="s">
        <v>139</v>
      </c>
      <c r="L7" s="85" t="s">
        <v>117</v>
      </c>
      <c r="M7" s="85" t="s">
        <v>118</v>
      </c>
      <c r="N7" s="85" t="s">
        <v>100</v>
      </c>
      <c r="O7" s="85" t="s">
        <v>119</v>
      </c>
      <c r="P7" s="85" t="s">
        <v>120</v>
      </c>
      <c r="Q7" s="85"/>
      <c r="R7" s="85" t="s">
        <v>120</v>
      </c>
      <c r="S7" s="85" t="s">
        <v>121</v>
      </c>
      <c r="T7" s="85" t="s">
        <v>122</v>
      </c>
      <c r="U7" s="85" t="s">
        <v>120</v>
      </c>
      <c r="V7" s="85" t="s">
        <v>120</v>
      </c>
      <c r="W7" s="85"/>
      <c r="X7" s="85"/>
      <c r="Y7" s="85"/>
      <c r="Z7" s="85"/>
      <c r="AA7" s="85"/>
      <c r="AB7" s="85"/>
      <c r="AC7" s="85"/>
      <c r="AD7" s="85"/>
      <c r="AE7" s="85"/>
      <c r="AF7" s="85"/>
      <c r="AG7" s="85"/>
      <c r="AH7" s="85"/>
      <c r="AI7" s="85"/>
      <c r="AJ7" s="85"/>
      <c r="AK7" s="85"/>
      <c r="AL7" s="85"/>
      <c r="AM7" s="85"/>
      <c r="AN7" s="87"/>
    </row>
    <row r="8" spans="1:40">
      <c r="A8" s="84">
        <v>4</v>
      </c>
      <c r="B8" s="85" t="s">
        <v>140</v>
      </c>
      <c r="C8" s="85" t="s">
        <v>109</v>
      </c>
      <c r="D8" s="85" t="s">
        <v>110</v>
      </c>
      <c r="E8" s="85"/>
      <c r="F8" s="85" t="s">
        <v>141</v>
      </c>
      <c r="G8" s="86" t="s">
        <v>142</v>
      </c>
      <c r="H8" s="85" t="s">
        <v>113</v>
      </c>
      <c r="I8" s="85" t="s">
        <v>127</v>
      </c>
      <c r="J8" s="85" t="s">
        <v>143</v>
      </c>
      <c r="K8" s="85" t="s">
        <v>116</v>
      </c>
      <c r="L8" s="85" t="s">
        <v>129</v>
      </c>
      <c r="M8" s="85" t="s">
        <v>130</v>
      </c>
      <c r="N8" s="85"/>
      <c r="O8" s="85"/>
      <c r="P8" s="85" t="s">
        <v>120</v>
      </c>
      <c r="Q8" s="85" t="s">
        <v>144</v>
      </c>
      <c r="R8" s="85" t="s">
        <v>120</v>
      </c>
      <c r="S8" s="85" t="s">
        <v>131</v>
      </c>
      <c r="T8" s="85" t="s">
        <v>132</v>
      </c>
      <c r="U8" s="85" t="s">
        <v>120</v>
      </c>
      <c r="V8" s="85" t="s">
        <v>120</v>
      </c>
      <c r="W8" s="85"/>
      <c r="X8" s="85"/>
      <c r="Y8" s="85"/>
      <c r="Z8" s="85"/>
      <c r="AA8" s="85"/>
      <c r="AB8" s="85"/>
      <c r="AC8" s="85"/>
      <c r="AD8" s="85"/>
      <c r="AE8" s="85"/>
      <c r="AF8" s="85"/>
      <c r="AG8" s="85"/>
      <c r="AH8" s="85"/>
      <c r="AI8" s="85"/>
      <c r="AJ8" s="85"/>
      <c r="AK8" s="85"/>
      <c r="AL8" s="85"/>
      <c r="AM8" s="85"/>
      <c r="AN8" s="87"/>
    </row>
    <row r="9" spans="1:40">
      <c r="A9" s="84">
        <v>5</v>
      </c>
      <c r="B9" s="85" t="s">
        <v>145</v>
      </c>
      <c r="C9" s="85" t="s">
        <v>109</v>
      </c>
      <c r="D9" s="85" t="s">
        <v>110</v>
      </c>
      <c r="E9" s="85"/>
      <c r="F9" s="85" t="s">
        <v>146</v>
      </c>
      <c r="G9" s="86" t="s">
        <v>147</v>
      </c>
      <c r="H9" s="85" t="s">
        <v>126</v>
      </c>
      <c r="I9" s="85" t="s">
        <v>114</v>
      </c>
      <c r="J9" s="85" t="s">
        <v>143</v>
      </c>
      <c r="K9" s="85" t="s">
        <v>128</v>
      </c>
      <c r="L9" s="85" t="s">
        <v>117</v>
      </c>
      <c r="M9" s="85" t="s">
        <v>118</v>
      </c>
      <c r="N9" s="85"/>
      <c r="O9" s="85"/>
      <c r="P9" s="85" t="s">
        <v>120</v>
      </c>
      <c r="Q9" s="85"/>
      <c r="R9" s="85" t="s">
        <v>120</v>
      </c>
      <c r="S9" s="85" t="s">
        <v>121</v>
      </c>
      <c r="T9" s="85" t="s">
        <v>122</v>
      </c>
      <c r="U9" s="85" t="s">
        <v>120</v>
      </c>
      <c r="V9" s="85" t="s">
        <v>120</v>
      </c>
      <c r="W9" s="85"/>
      <c r="X9" s="85"/>
      <c r="Y9" s="85"/>
      <c r="Z9" s="85"/>
      <c r="AA9" s="85"/>
      <c r="AB9" s="85"/>
      <c r="AC9" s="85"/>
      <c r="AD9" s="85"/>
      <c r="AE9" s="85"/>
      <c r="AF9" s="85"/>
      <c r="AG9" s="85"/>
      <c r="AH9" s="85"/>
      <c r="AI9" s="85"/>
      <c r="AJ9" s="85"/>
      <c r="AK9" s="85"/>
      <c r="AL9" s="85"/>
      <c r="AM9" s="85"/>
      <c r="AN9" s="87"/>
    </row>
    <row r="10" spans="1:40">
      <c r="A10" s="84">
        <v>6</v>
      </c>
      <c r="B10" s="85" t="s">
        <v>148</v>
      </c>
      <c r="C10" s="85" t="s">
        <v>109</v>
      </c>
      <c r="D10" s="85" t="s">
        <v>110</v>
      </c>
      <c r="E10" s="85" t="s">
        <v>1037</v>
      </c>
      <c r="F10" s="85" t="s">
        <v>149</v>
      </c>
      <c r="G10" s="86" t="s">
        <v>150</v>
      </c>
      <c r="H10" s="85" t="s">
        <v>138</v>
      </c>
      <c r="I10" s="85" t="s">
        <v>127</v>
      </c>
      <c r="J10" s="85" t="s">
        <v>143</v>
      </c>
      <c r="K10" s="85" t="s">
        <v>139</v>
      </c>
      <c r="L10" s="85" t="s">
        <v>129</v>
      </c>
      <c r="M10" s="85" t="s">
        <v>130</v>
      </c>
      <c r="N10" s="85" t="s">
        <v>151</v>
      </c>
      <c r="O10" s="85" t="s">
        <v>119</v>
      </c>
      <c r="P10" s="85" t="s">
        <v>120</v>
      </c>
      <c r="Q10" s="85" t="s">
        <v>120</v>
      </c>
      <c r="R10" s="85" t="s">
        <v>120</v>
      </c>
      <c r="S10" s="85" t="s">
        <v>131</v>
      </c>
      <c r="T10" s="85" t="s">
        <v>132</v>
      </c>
      <c r="U10" s="85" t="s">
        <v>120</v>
      </c>
      <c r="V10" s="85" t="s">
        <v>138</v>
      </c>
      <c r="W10" s="85"/>
      <c r="X10" s="85" t="s">
        <v>133</v>
      </c>
      <c r="Y10" s="85"/>
      <c r="Z10" s="85" t="s">
        <v>134</v>
      </c>
      <c r="AA10" s="85"/>
      <c r="AB10" s="85" t="s">
        <v>133</v>
      </c>
      <c r="AC10" s="85"/>
      <c r="AD10" s="85"/>
      <c r="AE10" s="85"/>
      <c r="AF10" s="85"/>
      <c r="AG10" s="85"/>
      <c r="AH10" s="85"/>
      <c r="AI10" s="85"/>
      <c r="AJ10" s="85"/>
      <c r="AK10" s="85"/>
      <c r="AL10" s="85"/>
      <c r="AM10" s="85"/>
      <c r="AN10" s="87"/>
    </row>
    <row r="11" spans="1:40">
      <c r="A11" s="84">
        <v>7</v>
      </c>
      <c r="B11" s="85" t="s">
        <v>152</v>
      </c>
      <c r="C11" s="85" t="s">
        <v>109</v>
      </c>
      <c r="D11" s="85" t="s">
        <v>110</v>
      </c>
      <c r="E11" s="85"/>
      <c r="F11" s="85" t="s">
        <v>153</v>
      </c>
      <c r="G11" s="86" t="s">
        <v>154</v>
      </c>
      <c r="H11" s="85" t="s">
        <v>113</v>
      </c>
      <c r="I11" s="85" t="s">
        <v>114</v>
      </c>
      <c r="J11" s="85" t="s">
        <v>155</v>
      </c>
      <c r="K11" s="85" t="s">
        <v>116</v>
      </c>
      <c r="L11" s="85" t="s">
        <v>117</v>
      </c>
      <c r="M11" s="85" t="s">
        <v>118</v>
      </c>
      <c r="N11" s="85"/>
      <c r="O11" s="85"/>
      <c r="P11" s="85" t="s">
        <v>120</v>
      </c>
      <c r="Q11" s="85"/>
      <c r="R11" s="85" t="s">
        <v>120</v>
      </c>
      <c r="S11" s="85" t="s">
        <v>121</v>
      </c>
      <c r="T11" s="85" t="s">
        <v>122</v>
      </c>
      <c r="U11" s="85" t="s">
        <v>120</v>
      </c>
      <c r="V11" s="85" t="s">
        <v>120</v>
      </c>
      <c r="W11" s="85"/>
      <c r="X11" s="85"/>
      <c r="Y11" s="85"/>
      <c r="Z11" s="85"/>
      <c r="AA11" s="85"/>
      <c r="AB11" s="85"/>
      <c r="AC11" s="85"/>
      <c r="AD11" s="85"/>
      <c r="AE11" s="85"/>
      <c r="AF11" s="85"/>
      <c r="AG11" s="85"/>
      <c r="AH11" s="85"/>
      <c r="AI11" s="85"/>
      <c r="AJ11" s="85"/>
      <c r="AK11" s="85"/>
      <c r="AL11" s="85"/>
      <c r="AM11" s="85"/>
      <c r="AN11" s="87"/>
    </row>
    <row r="12" spans="1:40">
      <c r="A12" s="84">
        <v>8</v>
      </c>
      <c r="B12" s="85" t="s">
        <v>156</v>
      </c>
      <c r="C12" s="85" t="s">
        <v>109</v>
      </c>
      <c r="D12" s="85" t="s">
        <v>110</v>
      </c>
      <c r="E12" s="85"/>
      <c r="F12" s="85" t="s">
        <v>157</v>
      </c>
      <c r="G12" s="86" t="s">
        <v>158</v>
      </c>
      <c r="H12" s="85" t="s">
        <v>126</v>
      </c>
      <c r="I12" s="85" t="s">
        <v>127</v>
      </c>
      <c r="J12" s="85" t="s">
        <v>155</v>
      </c>
      <c r="K12" s="85" t="s">
        <v>128</v>
      </c>
      <c r="L12" s="85" t="s">
        <v>129</v>
      </c>
      <c r="M12" s="85" t="s">
        <v>130</v>
      </c>
      <c r="N12" s="85"/>
      <c r="O12" s="85"/>
      <c r="P12" s="85" t="s">
        <v>120</v>
      </c>
      <c r="Q12" s="85" t="s">
        <v>144</v>
      </c>
      <c r="R12" s="85" t="s">
        <v>120</v>
      </c>
      <c r="S12" s="85" t="s">
        <v>131</v>
      </c>
      <c r="T12" s="85" t="s">
        <v>132</v>
      </c>
      <c r="U12" s="85" t="s">
        <v>120</v>
      </c>
      <c r="V12" s="85" t="s">
        <v>120</v>
      </c>
      <c r="W12" s="85"/>
      <c r="X12" s="85"/>
      <c r="Y12" s="85"/>
      <c r="Z12" s="85"/>
      <c r="AA12" s="85"/>
      <c r="AB12" s="85"/>
      <c r="AC12" s="85"/>
      <c r="AD12" s="85"/>
      <c r="AE12" s="85"/>
      <c r="AF12" s="85"/>
      <c r="AG12" s="85"/>
      <c r="AH12" s="85"/>
      <c r="AI12" s="85"/>
      <c r="AJ12" s="85"/>
      <c r="AK12" s="85"/>
      <c r="AL12" s="85"/>
      <c r="AM12" s="85"/>
      <c r="AN12" s="87"/>
    </row>
    <row r="13" spans="1:40">
      <c r="A13" s="84">
        <v>9</v>
      </c>
      <c r="B13" s="85" t="s">
        <v>159</v>
      </c>
      <c r="C13" s="85" t="s">
        <v>109</v>
      </c>
      <c r="D13" s="85" t="s">
        <v>110</v>
      </c>
      <c r="E13" s="85" t="s">
        <v>1036</v>
      </c>
      <c r="F13" s="85" t="s">
        <v>160</v>
      </c>
      <c r="G13" s="86" t="s">
        <v>161</v>
      </c>
      <c r="H13" s="85" t="s">
        <v>138</v>
      </c>
      <c r="I13" s="85" t="s">
        <v>114</v>
      </c>
      <c r="J13" s="85" t="s">
        <v>155</v>
      </c>
      <c r="K13" s="85" t="s">
        <v>139</v>
      </c>
      <c r="L13" s="85" t="s">
        <v>117</v>
      </c>
      <c r="M13" s="85" t="s">
        <v>118</v>
      </c>
      <c r="N13" s="85" t="s">
        <v>100</v>
      </c>
      <c r="O13" s="85" t="s">
        <v>100</v>
      </c>
      <c r="P13" s="85" t="s">
        <v>120</v>
      </c>
      <c r="Q13" s="85"/>
      <c r="R13" s="85" t="s">
        <v>120</v>
      </c>
      <c r="S13" s="85" t="s">
        <v>121</v>
      </c>
      <c r="T13" s="85" t="s">
        <v>122</v>
      </c>
      <c r="U13" s="85" t="s">
        <v>120</v>
      </c>
      <c r="V13" s="85" t="s">
        <v>120</v>
      </c>
      <c r="W13" s="85"/>
      <c r="X13" s="85"/>
      <c r="Y13" s="85" t="s">
        <v>133</v>
      </c>
      <c r="Z13" s="88" t="s">
        <v>162</v>
      </c>
      <c r="AA13" s="85" t="s">
        <v>133</v>
      </c>
      <c r="AB13" s="85"/>
      <c r="AC13" s="85"/>
      <c r="AD13" s="85"/>
      <c r="AE13" s="85"/>
      <c r="AF13" s="85"/>
      <c r="AG13" s="85"/>
      <c r="AH13" s="85"/>
      <c r="AI13" s="85"/>
      <c r="AJ13" s="85"/>
      <c r="AK13" s="85"/>
      <c r="AL13" s="85"/>
      <c r="AM13" s="85"/>
      <c r="AN13" s="87"/>
    </row>
    <row r="14" spans="1:40">
      <c r="A14" s="84">
        <v>10</v>
      </c>
      <c r="B14" s="85" t="s">
        <v>163</v>
      </c>
      <c r="C14" s="85" t="s">
        <v>109</v>
      </c>
      <c r="D14" s="85" t="s">
        <v>110</v>
      </c>
      <c r="E14" s="85"/>
      <c r="F14" s="85" t="s">
        <v>111</v>
      </c>
      <c r="G14" s="86" t="s">
        <v>164</v>
      </c>
      <c r="H14" s="85" t="s">
        <v>113</v>
      </c>
      <c r="I14" s="85" t="s">
        <v>127</v>
      </c>
      <c r="J14" s="85" t="s">
        <v>115</v>
      </c>
      <c r="K14" s="85" t="s">
        <v>116</v>
      </c>
      <c r="L14" s="85" t="s">
        <v>129</v>
      </c>
      <c r="M14" s="85" t="s">
        <v>130</v>
      </c>
      <c r="N14" s="85"/>
      <c r="O14" s="85"/>
      <c r="P14" s="85" t="s">
        <v>120</v>
      </c>
      <c r="Q14" s="85" t="s">
        <v>120</v>
      </c>
      <c r="R14" s="85" t="s">
        <v>120</v>
      </c>
      <c r="S14" s="85" t="s">
        <v>131</v>
      </c>
      <c r="T14" s="85" t="s">
        <v>132</v>
      </c>
      <c r="U14" s="85" t="s">
        <v>120</v>
      </c>
      <c r="V14" s="85" t="s">
        <v>120</v>
      </c>
      <c r="W14" s="85"/>
      <c r="X14" s="85"/>
      <c r="Y14" s="85"/>
      <c r="Z14" s="85"/>
      <c r="AA14" s="85"/>
      <c r="AB14" s="85"/>
      <c r="AC14" s="85"/>
      <c r="AD14" s="85"/>
      <c r="AE14" s="85"/>
      <c r="AF14" s="85"/>
      <c r="AG14" s="85"/>
      <c r="AH14" s="85"/>
      <c r="AI14" s="85"/>
      <c r="AJ14" s="85"/>
      <c r="AK14" s="85"/>
      <c r="AL14" s="85"/>
      <c r="AM14" s="85"/>
      <c r="AN14" s="87"/>
    </row>
    <row r="15" spans="1:40">
      <c r="A15" s="84">
        <v>11</v>
      </c>
      <c r="B15" s="85" t="s">
        <v>165</v>
      </c>
      <c r="C15" s="85" t="s">
        <v>109</v>
      </c>
      <c r="D15" s="85" t="s">
        <v>110</v>
      </c>
      <c r="E15" s="85" t="s">
        <v>99</v>
      </c>
      <c r="F15" s="85" t="s">
        <v>166</v>
      </c>
      <c r="G15" s="86" t="s">
        <v>167</v>
      </c>
      <c r="H15" s="85" t="s">
        <v>126</v>
      </c>
      <c r="I15" s="85" t="s">
        <v>114</v>
      </c>
      <c r="J15" s="85" t="s">
        <v>143</v>
      </c>
      <c r="K15" s="85" t="s">
        <v>128</v>
      </c>
      <c r="L15" s="85" t="s">
        <v>117</v>
      </c>
      <c r="M15" s="85" t="s">
        <v>118</v>
      </c>
      <c r="N15" s="85" t="s">
        <v>151</v>
      </c>
      <c r="O15" s="85" t="s">
        <v>151</v>
      </c>
      <c r="P15" s="85" t="s">
        <v>120</v>
      </c>
      <c r="Q15" s="85"/>
      <c r="R15" s="85" t="s">
        <v>120</v>
      </c>
      <c r="S15" s="85" t="s">
        <v>121</v>
      </c>
      <c r="T15" s="85" t="s">
        <v>122</v>
      </c>
      <c r="U15" s="85" t="s">
        <v>120</v>
      </c>
      <c r="V15" s="85" t="s">
        <v>138</v>
      </c>
      <c r="W15" s="85"/>
      <c r="X15" s="85"/>
      <c r="Y15" s="85"/>
      <c r="Z15" s="85"/>
      <c r="AA15" s="85"/>
      <c r="AB15" s="85"/>
      <c r="AC15" s="85"/>
      <c r="AD15" s="85"/>
      <c r="AE15" s="85"/>
      <c r="AF15" s="85"/>
      <c r="AG15" s="85"/>
      <c r="AH15" s="85"/>
      <c r="AI15" s="85"/>
      <c r="AJ15" s="85"/>
      <c r="AK15" s="85"/>
      <c r="AL15" s="85"/>
      <c r="AM15" s="85"/>
      <c r="AN15" s="87"/>
    </row>
    <row r="16" spans="1:40">
      <c r="A16" s="84">
        <v>12</v>
      </c>
      <c r="B16" s="85" t="s">
        <v>168</v>
      </c>
      <c r="C16" s="85" t="s">
        <v>109</v>
      </c>
      <c r="D16" s="85" t="s">
        <v>169</v>
      </c>
      <c r="E16" s="85"/>
      <c r="F16" s="85" t="s">
        <v>124</v>
      </c>
      <c r="G16" s="86" t="s">
        <v>112</v>
      </c>
      <c r="H16" s="85" t="s">
        <v>138</v>
      </c>
      <c r="I16" s="85" t="s">
        <v>127</v>
      </c>
      <c r="J16" s="85" t="s">
        <v>115</v>
      </c>
      <c r="K16" s="85" t="s">
        <v>116</v>
      </c>
      <c r="L16" s="85" t="s">
        <v>129</v>
      </c>
      <c r="M16" s="85" t="s">
        <v>118</v>
      </c>
      <c r="N16" s="85"/>
      <c r="O16" s="85"/>
      <c r="P16" s="85"/>
      <c r="Q16" s="85"/>
      <c r="R16" s="85"/>
      <c r="S16" s="85"/>
      <c r="T16" s="85"/>
      <c r="U16" s="85"/>
      <c r="V16" s="85"/>
      <c r="W16" s="85" t="s">
        <v>133</v>
      </c>
      <c r="X16" s="85"/>
      <c r="Y16" s="85"/>
      <c r="Z16" s="85"/>
      <c r="AA16" s="85"/>
      <c r="AB16" s="85"/>
      <c r="AC16" s="85"/>
      <c r="AD16" s="85"/>
      <c r="AE16" s="85"/>
      <c r="AF16" s="85"/>
      <c r="AG16" s="85"/>
      <c r="AH16" s="85"/>
      <c r="AI16" s="85"/>
      <c r="AJ16" s="85"/>
      <c r="AK16" s="85"/>
      <c r="AL16" s="85"/>
      <c r="AM16" s="85"/>
      <c r="AN16" s="87"/>
    </row>
    <row r="17" spans="1:40">
      <c r="A17" s="84">
        <v>13</v>
      </c>
      <c r="B17" s="85" t="s">
        <v>170</v>
      </c>
      <c r="C17" s="85" t="s">
        <v>109</v>
      </c>
      <c r="D17" s="85" t="s">
        <v>169</v>
      </c>
      <c r="E17" s="85"/>
      <c r="F17" s="85" t="s">
        <v>111</v>
      </c>
      <c r="G17" s="86" t="s">
        <v>142</v>
      </c>
      <c r="H17" s="85" t="s">
        <v>113</v>
      </c>
      <c r="I17" s="85" t="s">
        <v>114</v>
      </c>
      <c r="J17" s="85" t="s">
        <v>143</v>
      </c>
      <c r="K17" s="85" t="s">
        <v>128</v>
      </c>
      <c r="L17" s="85" t="s">
        <v>117</v>
      </c>
      <c r="M17" s="85" t="s">
        <v>130</v>
      </c>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7"/>
    </row>
    <row r="18" spans="1:40">
      <c r="A18" s="84">
        <v>14</v>
      </c>
      <c r="B18" s="85" t="s">
        <v>171</v>
      </c>
      <c r="C18" s="85" t="s">
        <v>109</v>
      </c>
      <c r="D18" s="85" t="s">
        <v>169</v>
      </c>
      <c r="E18" s="85"/>
      <c r="F18" s="85" t="s">
        <v>166</v>
      </c>
      <c r="G18" s="86" t="s">
        <v>147</v>
      </c>
      <c r="H18" s="85" t="s">
        <v>126</v>
      </c>
      <c r="I18" s="85" t="s">
        <v>127</v>
      </c>
      <c r="J18" s="85" t="s">
        <v>155</v>
      </c>
      <c r="K18" s="85" t="s">
        <v>139</v>
      </c>
      <c r="L18" s="85" t="s">
        <v>129</v>
      </c>
      <c r="M18" s="85" t="s">
        <v>118</v>
      </c>
      <c r="N18" s="85"/>
      <c r="O18" s="85"/>
      <c r="P18" s="85"/>
      <c r="Q18" s="85"/>
      <c r="R18" s="85"/>
      <c r="S18" s="85"/>
      <c r="T18" s="85"/>
      <c r="U18" s="85"/>
      <c r="V18" s="85"/>
      <c r="W18" s="85"/>
      <c r="X18" s="85" t="s">
        <v>133</v>
      </c>
      <c r="Y18" s="85"/>
      <c r="Z18" s="85"/>
      <c r="AA18" s="85"/>
      <c r="AB18" s="85"/>
      <c r="AC18" s="85"/>
      <c r="AD18" s="85"/>
      <c r="AE18" s="85"/>
      <c r="AF18" s="85"/>
      <c r="AG18" s="85"/>
      <c r="AH18" s="85"/>
      <c r="AI18" s="85"/>
      <c r="AJ18" s="85"/>
      <c r="AK18" s="85"/>
      <c r="AL18" s="85"/>
      <c r="AM18" s="85"/>
      <c r="AN18" s="87"/>
    </row>
    <row r="19" spans="1:40">
      <c r="A19" s="84">
        <v>15</v>
      </c>
      <c r="B19" s="85" t="s">
        <v>172</v>
      </c>
      <c r="C19" s="85" t="s">
        <v>109</v>
      </c>
      <c r="D19" s="85" t="s">
        <v>169</v>
      </c>
      <c r="E19" s="85"/>
      <c r="F19" s="85" t="s">
        <v>149</v>
      </c>
      <c r="G19" s="86" t="s">
        <v>150</v>
      </c>
      <c r="H19" s="85" t="s">
        <v>138</v>
      </c>
      <c r="I19" s="85" t="s">
        <v>114</v>
      </c>
      <c r="J19" s="85" t="s">
        <v>115</v>
      </c>
      <c r="K19" s="85" t="s">
        <v>116</v>
      </c>
      <c r="L19" s="85" t="s">
        <v>117</v>
      </c>
      <c r="M19" s="85" t="s">
        <v>130</v>
      </c>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7"/>
    </row>
    <row r="20" spans="1:40">
      <c r="A20" s="84">
        <v>16</v>
      </c>
      <c r="B20" s="85" t="s">
        <v>173</v>
      </c>
      <c r="C20" s="85" t="s">
        <v>109</v>
      </c>
      <c r="D20" s="85" t="s">
        <v>169</v>
      </c>
      <c r="E20" s="85"/>
      <c r="F20" s="85" t="s">
        <v>157</v>
      </c>
      <c r="G20" s="86" t="s">
        <v>154</v>
      </c>
      <c r="H20" s="85" t="s">
        <v>113</v>
      </c>
      <c r="I20" s="85" t="s">
        <v>127</v>
      </c>
      <c r="J20" s="85" t="s">
        <v>143</v>
      </c>
      <c r="K20" s="85" t="s">
        <v>128</v>
      </c>
      <c r="L20" s="85" t="s">
        <v>129</v>
      </c>
      <c r="M20" s="85" t="s">
        <v>118</v>
      </c>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7"/>
    </row>
    <row r="21" spans="1:40">
      <c r="A21" s="84">
        <v>17</v>
      </c>
      <c r="B21" s="85" t="s">
        <v>174</v>
      </c>
      <c r="C21" s="85" t="s">
        <v>109</v>
      </c>
      <c r="D21" s="85" t="s">
        <v>169</v>
      </c>
      <c r="E21" s="85"/>
      <c r="F21" s="85" t="s">
        <v>153</v>
      </c>
      <c r="G21" s="86" t="s">
        <v>158</v>
      </c>
      <c r="H21" s="85" t="s">
        <v>126</v>
      </c>
      <c r="I21" s="85" t="s">
        <v>114</v>
      </c>
      <c r="J21" s="85" t="s">
        <v>155</v>
      </c>
      <c r="K21" s="85" t="s">
        <v>139</v>
      </c>
      <c r="L21" s="85" t="s">
        <v>117</v>
      </c>
      <c r="M21" s="85" t="s">
        <v>130</v>
      </c>
      <c r="N21" s="85"/>
      <c r="O21" s="85"/>
      <c r="P21" s="85"/>
      <c r="Q21" s="85"/>
      <c r="R21" s="85"/>
      <c r="S21" s="85"/>
      <c r="T21" s="85"/>
      <c r="U21" s="85"/>
      <c r="V21" s="85"/>
      <c r="W21" s="85"/>
      <c r="X21" s="85"/>
      <c r="Y21" s="85" t="s">
        <v>133</v>
      </c>
      <c r="Z21" s="85"/>
      <c r="AA21" s="85"/>
      <c r="AB21" s="85"/>
      <c r="AC21" s="85"/>
      <c r="AD21" s="85"/>
      <c r="AE21" s="85"/>
      <c r="AF21" s="85"/>
      <c r="AG21" s="85"/>
      <c r="AH21" s="85"/>
      <c r="AI21" s="85"/>
      <c r="AJ21" s="85"/>
      <c r="AK21" s="85"/>
      <c r="AL21" s="85"/>
      <c r="AM21" s="85"/>
      <c r="AN21" s="87"/>
    </row>
    <row r="22" spans="1:40">
      <c r="A22" s="84">
        <v>18</v>
      </c>
      <c r="B22" s="85" t="s">
        <v>175</v>
      </c>
      <c r="C22" s="85" t="s">
        <v>109</v>
      </c>
      <c r="D22" s="85" t="s">
        <v>110</v>
      </c>
      <c r="E22" s="85"/>
      <c r="F22" s="85"/>
      <c r="G22" s="86"/>
      <c r="H22" s="85"/>
      <c r="I22" s="85" t="s">
        <v>114</v>
      </c>
      <c r="J22" s="85" t="s">
        <v>115</v>
      </c>
      <c r="K22" s="85"/>
      <c r="L22" s="85" t="s">
        <v>117</v>
      </c>
      <c r="M22" s="85"/>
      <c r="N22" s="85"/>
      <c r="O22" s="85"/>
      <c r="P22" s="85" t="s">
        <v>144</v>
      </c>
      <c r="Q22" s="85"/>
      <c r="R22" s="85" t="s">
        <v>144</v>
      </c>
      <c r="S22" s="85" t="s">
        <v>131</v>
      </c>
      <c r="T22" s="85" t="s">
        <v>132</v>
      </c>
      <c r="U22" s="85" t="s">
        <v>120</v>
      </c>
      <c r="V22" s="85" t="s">
        <v>144</v>
      </c>
      <c r="W22" s="85"/>
      <c r="X22" s="85"/>
      <c r="Y22" s="85"/>
      <c r="Z22" s="85"/>
      <c r="AA22" s="85"/>
      <c r="AB22" s="85"/>
      <c r="AC22" s="85"/>
      <c r="AD22" s="85"/>
      <c r="AE22" s="85"/>
      <c r="AF22" s="85"/>
      <c r="AG22" s="85"/>
      <c r="AH22" s="85"/>
      <c r="AI22" s="85"/>
      <c r="AJ22" s="85"/>
      <c r="AK22" s="85"/>
      <c r="AL22" s="85"/>
      <c r="AM22" s="85"/>
      <c r="AN22" s="87"/>
    </row>
    <row r="23" spans="1:40">
      <c r="A23" s="84">
        <v>19</v>
      </c>
      <c r="B23" s="85" t="s">
        <v>176</v>
      </c>
      <c r="C23" s="85" t="s">
        <v>109</v>
      </c>
      <c r="D23" s="85" t="s">
        <v>110</v>
      </c>
      <c r="E23" s="85"/>
      <c r="F23" s="85"/>
      <c r="G23" s="86"/>
      <c r="H23" s="85"/>
      <c r="I23" s="85" t="s">
        <v>127</v>
      </c>
      <c r="J23" s="85" t="s">
        <v>143</v>
      </c>
      <c r="K23" s="85"/>
      <c r="L23" s="85" t="s">
        <v>129</v>
      </c>
      <c r="M23" s="85"/>
      <c r="N23" s="85"/>
      <c r="O23" s="85"/>
      <c r="P23" s="85" t="s">
        <v>144</v>
      </c>
      <c r="Q23" s="85" t="s">
        <v>120</v>
      </c>
      <c r="R23" s="85" t="s">
        <v>144</v>
      </c>
      <c r="S23" s="85" t="s">
        <v>121</v>
      </c>
      <c r="T23" s="85" t="s">
        <v>122</v>
      </c>
      <c r="U23" s="85" t="s">
        <v>120</v>
      </c>
      <c r="V23" s="85" t="s">
        <v>144</v>
      </c>
      <c r="W23" s="85"/>
      <c r="X23" s="85"/>
      <c r="Y23" s="85"/>
      <c r="Z23" s="85"/>
      <c r="AA23" s="85"/>
      <c r="AB23" s="85"/>
      <c r="AC23" s="85"/>
      <c r="AD23" s="85"/>
      <c r="AE23" s="85"/>
      <c r="AF23" s="85"/>
      <c r="AG23" s="85"/>
      <c r="AH23" s="85"/>
      <c r="AI23" s="85"/>
      <c r="AJ23" s="85"/>
      <c r="AK23" s="85"/>
      <c r="AL23" s="85"/>
      <c r="AM23" s="85"/>
      <c r="AN23" s="87"/>
    </row>
    <row r="24" spans="1:40">
      <c r="A24" s="84">
        <v>20</v>
      </c>
      <c r="B24" s="85" t="s">
        <v>177</v>
      </c>
      <c r="C24" s="85" t="s">
        <v>109</v>
      </c>
      <c r="D24" s="85" t="s">
        <v>110</v>
      </c>
      <c r="E24" s="85"/>
      <c r="F24" s="85"/>
      <c r="G24" s="86"/>
      <c r="H24" s="85"/>
      <c r="I24" s="85" t="s">
        <v>114</v>
      </c>
      <c r="J24" s="85" t="s">
        <v>155</v>
      </c>
      <c r="K24" s="85"/>
      <c r="L24" s="85" t="s">
        <v>117</v>
      </c>
      <c r="M24" s="85"/>
      <c r="N24" s="85"/>
      <c r="O24" s="85"/>
      <c r="P24" s="85" t="s">
        <v>144</v>
      </c>
      <c r="Q24" s="85" t="s">
        <v>144</v>
      </c>
      <c r="R24" s="85" t="s">
        <v>144</v>
      </c>
      <c r="S24" s="85" t="s">
        <v>121</v>
      </c>
      <c r="T24" s="85" t="s">
        <v>178</v>
      </c>
      <c r="U24" s="85" t="s">
        <v>144</v>
      </c>
      <c r="V24" s="85" t="s">
        <v>144</v>
      </c>
      <c r="W24" s="85"/>
      <c r="X24" s="85"/>
      <c r="Y24" s="85"/>
      <c r="Z24" s="85"/>
      <c r="AA24" s="85"/>
      <c r="AB24" s="85"/>
      <c r="AC24" s="85"/>
      <c r="AD24" s="85"/>
      <c r="AE24" s="85"/>
      <c r="AF24" s="85"/>
      <c r="AG24" s="85"/>
      <c r="AH24" s="85"/>
      <c r="AI24" s="85"/>
      <c r="AJ24" s="85"/>
      <c r="AK24" s="85"/>
      <c r="AL24" s="85"/>
      <c r="AM24" s="85"/>
      <c r="AN24" s="87"/>
    </row>
    <row r="25" spans="1:40">
      <c r="A25" s="84">
        <v>21</v>
      </c>
      <c r="B25" s="85" t="s">
        <v>179</v>
      </c>
      <c r="C25" s="85" t="s">
        <v>109</v>
      </c>
      <c r="D25" s="85" t="s">
        <v>110</v>
      </c>
      <c r="E25" s="85"/>
      <c r="F25" s="85"/>
      <c r="G25" s="85"/>
      <c r="H25" s="85"/>
      <c r="I25" s="85" t="s">
        <v>127</v>
      </c>
      <c r="J25" s="85" t="s">
        <v>115</v>
      </c>
      <c r="K25" s="85"/>
      <c r="L25" s="85" t="s">
        <v>129</v>
      </c>
      <c r="M25" s="85"/>
      <c r="N25" s="85"/>
      <c r="O25" s="85"/>
      <c r="P25" s="85" t="s">
        <v>120</v>
      </c>
      <c r="Q25" s="85" t="s">
        <v>144</v>
      </c>
      <c r="R25" s="85" t="s">
        <v>120</v>
      </c>
      <c r="S25" s="85" t="s">
        <v>121</v>
      </c>
      <c r="T25" s="85" t="s">
        <v>178</v>
      </c>
      <c r="U25" s="85" t="s">
        <v>144</v>
      </c>
      <c r="V25" s="85" t="s">
        <v>144</v>
      </c>
      <c r="W25" s="85"/>
      <c r="X25" s="85"/>
      <c r="Y25" s="85"/>
      <c r="Z25" s="85"/>
      <c r="AA25" s="85"/>
      <c r="AB25" s="85"/>
      <c r="AC25" s="85"/>
      <c r="AD25" s="85"/>
      <c r="AE25" s="85"/>
      <c r="AF25" s="85"/>
      <c r="AG25" s="85"/>
      <c r="AH25" s="85"/>
      <c r="AI25" s="85"/>
      <c r="AJ25" s="85"/>
      <c r="AK25" s="85"/>
      <c r="AL25" s="85"/>
      <c r="AM25" s="85"/>
      <c r="AN25" s="87"/>
    </row>
    <row r="26" spans="1:40">
      <c r="A26" s="84">
        <v>22</v>
      </c>
      <c r="B26" s="85" t="s">
        <v>180</v>
      </c>
      <c r="C26" s="85" t="s">
        <v>109</v>
      </c>
      <c r="D26" s="85" t="s">
        <v>110</v>
      </c>
      <c r="E26" s="85"/>
      <c r="F26" s="85"/>
      <c r="G26" s="85"/>
      <c r="H26" s="85"/>
      <c r="I26" s="85" t="s">
        <v>114</v>
      </c>
      <c r="J26" s="85" t="s">
        <v>143</v>
      </c>
      <c r="K26" s="85"/>
      <c r="L26" s="85" t="s">
        <v>117</v>
      </c>
      <c r="M26" s="85"/>
      <c r="N26" s="85"/>
      <c r="O26" s="85"/>
      <c r="P26" s="85" t="s">
        <v>120</v>
      </c>
      <c r="Q26" s="85" t="s">
        <v>120</v>
      </c>
      <c r="R26" s="85" t="s">
        <v>120</v>
      </c>
      <c r="S26" s="85" t="s">
        <v>131</v>
      </c>
      <c r="T26" s="85" t="s">
        <v>181</v>
      </c>
      <c r="U26" s="85" t="s">
        <v>144</v>
      </c>
      <c r="V26" s="85" t="s">
        <v>144</v>
      </c>
      <c r="W26" s="85"/>
      <c r="X26" s="85"/>
      <c r="Y26" s="85"/>
      <c r="Z26" s="85"/>
      <c r="AA26" s="85"/>
      <c r="AB26" s="85"/>
      <c r="AC26" s="85"/>
      <c r="AD26" s="85"/>
      <c r="AE26" s="85"/>
      <c r="AF26" s="85"/>
      <c r="AG26" s="85"/>
      <c r="AH26" s="85"/>
      <c r="AI26" s="85"/>
      <c r="AJ26" s="85"/>
      <c r="AK26" s="85"/>
      <c r="AL26" s="85"/>
      <c r="AM26" s="85"/>
      <c r="AN26" s="87"/>
    </row>
    <row r="27" spans="1:40">
      <c r="A27" s="84">
        <v>23</v>
      </c>
      <c r="B27" s="85" t="s">
        <v>182</v>
      </c>
      <c r="C27" s="85" t="s">
        <v>109</v>
      </c>
      <c r="D27" s="85" t="s">
        <v>110</v>
      </c>
      <c r="E27" s="85"/>
      <c r="F27" s="85"/>
      <c r="G27" s="85"/>
      <c r="H27" s="85"/>
      <c r="I27" s="85" t="s">
        <v>127</v>
      </c>
      <c r="J27" s="85" t="s">
        <v>155</v>
      </c>
      <c r="K27" s="85"/>
      <c r="L27" s="85" t="s">
        <v>129</v>
      </c>
      <c r="M27" s="85"/>
      <c r="N27" s="85"/>
      <c r="O27" s="85"/>
      <c r="P27" s="85" t="s">
        <v>120</v>
      </c>
      <c r="Q27" s="85" t="s">
        <v>183</v>
      </c>
      <c r="R27" s="85" t="s">
        <v>120</v>
      </c>
      <c r="S27" s="85" t="s">
        <v>121</v>
      </c>
      <c r="T27" s="85" t="s">
        <v>178</v>
      </c>
      <c r="U27" s="85" t="s">
        <v>144</v>
      </c>
      <c r="V27" s="85" t="s">
        <v>144</v>
      </c>
      <c r="W27" s="85"/>
      <c r="X27" s="85"/>
      <c r="Y27" s="85"/>
      <c r="Z27" s="85"/>
      <c r="AA27" s="85"/>
      <c r="AB27" s="85"/>
      <c r="AC27" s="85"/>
      <c r="AD27" s="85"/>
      <c r="AE27" s="85"/>
      <c r="AF27" s="85"/>
      <c r="AG27" s="85"/>
      <c r="AH27" s="85"/>
      <c r="AI27" s="85"/>
      <c r="AJ27" s="85"/>
      <c r="AK27" s="85"/>
      <c r="AL27" s="85"/>
      <c r="AM27" s="85"/>
      <c r="AN27" s="87"/>
    </row>
    <row r="28" spans="1:40">
      <c r="A28" s="84">
        <v>24</v>
      </c>
      <c r="B28" s="85" t="s">
        <v>184</v>
      </c>
      <c r="C28" s="85" t="s">
        <v>109</v>
      </c>
      <c r="D28" s="85" t="s">
        <v>110</v>
      </c>
      <c r="E28" s="85"/>
      <c r="F28" s="85"/>
      <c r="G28" s="85"/>
      <c r="H28" s="85"/>
      <c r="I28" s="85" t="s">
        <v>114</v>
      </c>
      <c r="J28" s="85" t="s">
        <v>115</v>
      </c>
      <c r="K28" s="85"/>
      <c r="L28" s="85" t="s">
        <v>117</v>
      </c>
      <c r="M28" s="85"/>
      <c r="N28" s="85"/>
      <c r="O28" s="85"/>
      <c r="P28" s="85" t="s">
        <v>120</v>
      </c>
      <c r="Q28" s="85" t="s">
        <v>183</v>
      </c>
      <c r="R28" s="85" t="s">
        <v>120</v>
      </c>
      <c r="S28" s="85" t="s">
        <v>131</v>
      </c>
      <c r="T28" s="85" t="s">
        <v>181</v>
      </c>
      <c r="U28" s="85" t="s">
        <v>144</v>
      </c>
      <c r="V28" s="85" t="s">
        <v>144</v>
      </c>
      <c r="W28" s="85"/>
      <c r="X28" s="85"/>
      <c r="Y28" s="85"/>
      <c r="Z28" s="85"/>
      <c r="AA28" s="85"/>
      <c r="AB28" s="85"/>
      <c r="AC28" s="85"/>
      <c r="AD28" s="85"/>
      <c r="AE28" s="85"/>
      <c r="AF28" s="85"/>
      <c r="AG28" s="85"/>
      <c r="AH28" s="85"/>
      <c r="AI28" s="85"/>
      <c r="AJ28" s="85"/>
      <c r="AK28" s="85"/>
      <c r="AL28" s="85"/>
      <c r="AM28" s="85"/>
      <c r="AN28" s="87"/>
    </row>
    <row r="29" spans="1:40">
      <c r="A29" s="84">
        <v>25</v>
      </c>
      <c r="B29" s="85" t="s">
        <v>185</v>
      </c>
      <c r="C29" s="85" t="s">
        <v>109</v>
      </c>
      <c r="D29" s="85" t="s">
        <v>110</v>
      </c>
      <c r="E29" s="85"/>
      <c r="F29" s="85"/>
      <c r="G29" s="85"/>
      <c r="H29" s="85"/>
      <c r="I29" s="85" t="s">
        <v>127</v>
      </c>
      <c r="J29" s="85" t="s">
        <v>143</v>
      </c>
      <c r="K29" s="85"/>
      <c r="L29" s="85" t="s">
        <v>129</v>
      </c>
      <c r="M29" s="85"/>
      <c r="N29" s="85"/>
      <c r="O29" s="85"/>
      <c r="P29" s="85"/>
      <c r="Q29" s="85"/>
      <c r="R29" s="85"/>
      <c r="S29" s="85"/>
      <c r="T29" s="85"/>
      <c r="U29" s="85"/>
      <c r="V29" s="85"/>
      <c r="W29" s="85"/>
      <c r="X29" s="85"/>
      <c r="Y29" s="85"/>
      <c r="Z29" s="85"/>
      <c r="AA29" s="85"/>
      <c r="AB29" s="85"/>
      <c r="AC29" s="85" t="s">
        <v>133</v>
      </c>
      <c r="AD29" s="85"/>
      <c r="AE29" s="85"/>
      <c r="AF29" s="85"/>
      <c r="AG29" s="85"/>
      <c r="AH29" s="85"/>
      <c r="AI29" s="85"/>
      <c r="AJ29" s="85"/>
      <c r="AK29" s="85"/>
      <c r="AL29" s="85"/>
      <c r="AM29" s="85"/>
      <c r="AN29" s="87"/>
    </row>
    <row r="30" spans="1:40">
      <c r="A30" s="84">
        <v>26</v>
      </c>
      <c r="B30" s="85" t="s">
        <v>186</v>
      </c>
      <c r="C30" s="85" t="s">
        <v>109</v>
      </c>
      <c r="D30" s="85" t="s">
        <v>169</v>
      </c>
      <c r="E30" s="85"/>
      <c r="F30" s="85"/>
      <c r="G30" s="85"/>
      <c r="H30" s="85"/>
      <c r="I30" s="85" t="s">
        <v>114</v>
      </c>
      <c r="J30" s="85" t="s">
        <v>155</v>
      </c>
      <c r="K30" s="85"/>
      <c r="L30" s="85" t="s">
        <v>117</v>
      </c>
      <c r="M30" s="85"/>
      <c r="N30" s="85"/>
      <c r="O30" s="85"/>
      <c r="P30" s="85"/>
      <c r="Q30" s="85"/>
      <c r="R30" s="85"/>
      <c r="S30" s="85"/>
      <c r="T30" s="85"/>
      <c r="U30" s="85"/>
      <c r="V30" s="85"/>
      <c r="W30" s="85"/>
      <c r="X30" s="85"/>
      <c r="Y30" s="85"/>
      <c r="Z30" s="85"/>
      <c r="AA30" s="85"/>
      <c r="AB30" s="85"/>
      <c r="AC30" s="85"/>
      <c r="AD30" s="85" t="s">
        <v>133</v>
      </c>
      <c r="AE30" s="85"/>
      <c r="AF30" s="85"/>
      <c r="AG30" s="85"/>
      <c r="AH30" s="85"/>
      <c r="AI30" s="85"/>
      <c r="AJ30" s="85"/>
      <c r="AK30" s="85"/>
      <c r="AL30" s="85"/>
      <c r="AM30" s="85"/>
      <c r="AN30" s="87"/>
    </row>
    <row r="31" spans="1:40">
      <c r="A31" s="84">
        <v>27</v>
      </c>
      <c r="B31" s="85" t="s">
        <v>187</v>
      </c>
      <c r="C31" s="85" t="s">
        <v>109</v>
      </c>
      <c r="D31" s="85" t="s">
        <v>110</v>
      </c>
      <c r="E31" s="85"/>
      <c r="F31" s="85"/>
      <c r="G31" s="85"/>
      <c r="H31" s="85"/>
      <c r="I31" s="85" t="s">
        <v>127</v>
      </c>
      <c r="J31" s="85" t="s">
        <v>115</v>
      </c>
      <c r="K31" s="85"/>
      <c r="L31" s="85" t="s">
        <v>129</v>
      </c>
      <c r="M31" s="85"/>
      <c r="N31" s="85"/>
      <c r="O31" s="85"/>
      <c r="P31" s="85"/>
      <c r="Q31" s="85"/>
      <c r="R31" s="85"/>
      <c r="S31" s="85"/>
      <c r="T31" s="85"/>
      <c r="U31" s="85"/>
      <c r="V31" s="85"/>
      <c r="W31" s="85"/>
      <c r="X31" s="85"/>
      <c r="Y31" s="85"/>
      <c r="Z31" s="85"/>
      <c r="AA31" s="85"/>
      <c r="AB31" s="85"/>
      <c r="AC31" s="85"/>
      <c r="AD31" s="85"/>
      <c r="AE31" s="85" t="s">
        <v>133</v>
      </c>
      <c r="AF31" s="85"/>
      <c r="AG31" s="85"/>
      <c r="AH31" s="85"/>
      <c r="AI31" s="85"/>
      <c r="AJ31" s="85"/>
      <c r="AK31" s="85"/>
      <c r="AL31" s="85"/>
      <c r="AM31" s="85"/>
      <c r="AN31" s="87"/>
    </row>
    <row r="32" spans="1:40">
      <c r="A32" s="84">
        <v>28</v>
      </c>
      <c r="B32" s="85" t="s">
        <v>188</v>
      </c>
      <c r="C32" s="85" t="s">
        <v>109</v>
      </c>
      <c r="D32" s="85" t="s">
        <v>169</v>
      </c>
      <c r="E32" s="85"/>
      <c r="F32" s="85"/>
      <c r="G32" s="85"/>
      <c r="H32" s="85"/>
      <c r="I32" s="85" t="s">
        <v>114</v>
      </c>
      <c r="J32" s="85" t="s">
        <v>143</v>
      </c>
      <c r="K32" s="85"/>
      <c r="L32" s="85" t="s">
        <v>117</v>
      </c>
      <c r="M32" s="85"/>
      <c r="N32" s="85"/>
      <c r="O32" s="85"/>
      <c r="P32" s="85"/>
      <c r="Q32" s="85"/>
      <c r="R32" s="85"/>
      <c r="S32" s="85"/>
      <c r="T32" s="85"/>
      <c r="U32" s="85"/>
      <c r="V32" s="85"/>
      <c r="W32" s="85"/>
      <c r="X32" s="85"/>
      <c r="Y32" s="85"/>
      <c r="Z32" s="85"/>
      <c r="AA32" s="85"/>
      <c r="AB32" s="85"/>
      <c r="AC32" s="85"/>
      <c r="AD32" s="85"/>
      <c r="AE32" s="85"/>
      <c r="AF32" s="85" t="s">
        <v>133</v>
      </c>
      <c r="AG32" s="85"/>
      <c r="AH32" s="85"/>
      <c r="AI32" s="85"/>
      <c r="AJ32" s="85"/>
      <c r="AK32" s="85"/>
      <c r="AL32" s="85"/>
      <c r="AM32" s="85"/>
      <c r="AN32" s="87"/>
    </row>
    <row r="33" spans="1:40">
      <c r="A33" s="84">
        <v>29</v>
      </c>
      <c r="B33" s="85" t="s">
        <v>189</v>
      </c>
      <c r="C33" s="85" t="s">
        <v>109</v>
      </c>
      <c r="D33" s="85" t="s">
        <v>110</v>
      </c>
      <c r="E33" s="85"/>
      <c r="F33" s="85"/>
      <c r="G33" s="85"/>
      <c r="H33" s="85"/>
      <c r="I33" s="85" t="s">
        <v>127</v>
      </c>
      <c r="J33" s="85" t="s">
        <v>155</v>
      </c>
      <c r="K33" s="85"/>
      <c r="L33" s="85" t="s">
        <v>129</v>
      </c>
      <c r="M33" s="85"/>
      <c r="N33" s="85"/>
      <c r="O33" s="85"/>
      <c r="P33" s="85"/>
      <c r="Q33" s="85"/>
      <c r="R33" s="85"/>
      <c r="S33" s="85"/>
      <c r="T33" s="85"/>
      <c r="U33" s="85"/>
      <c r="V33" s="85"/>
      <c r="W33" s="85"/>
      <c r="X33" s="85"/>
      <c r="Y33" s="85"/>
      <c r="Z33" s="85"/>
      <c r="AA33" s="85"/>
      <c r="AB33" s="85"/>
      <c r="AC33" s="85"/>
      <c r="AD33" s="85"/>
      <c r="AE33" s="85"/>
      <c r="AF33" s="85"/>
      <c r="AG33" s="85" t="s">
        <v>133</v>
      </c>
      <c r="AH33" s="85"/>
      <c r="AI33" s="85"/>
      <c r="AJ33" s="85"/>
      <c r="AK33" s="85"/>
      <c r="AL33" s="85"/>
      <c r="AM33" s="85"/>
      <c r="AN33" s="87"/>
    </row>
    <row r="34" spans="1:40">
      <c r="A34" s="84">
        <v>30</v>
      </c>
      <c r="B34" s="85" t="s">
        <v>190</v>
      </c>
      <c r="C34" s="85" t="s">
        <v>109</v>
      </c>
      <c r="D34" s="85" t="s">
        <v>169</v>
      </c>
      <c r="E34" s="85"/>
      <c r="F34" s="85"/>
      <c r="G34" s="85"/>
      <c r="H34" s="85"/>
      <c r="I34" s="85" t="s">
        <v>114</v>
      </c>
      <c r="J34" s="85" t="s">
        <v>115</v>
      </c>
      <c r="K34" s="85"/>
      <c r="L34" s="85" t="s">
        <v>117</v>
      </c>
      <c r="M34" s="85"/>
      <c r="N34" s="85"/>
      <c r="O34" s="85"/>
      <c r="P34" s="85"/>
      <c r="Q34" s="85"/>
      <c r="R34" s="85"/>
      <c r="S34" s="85"/>
      <c r="T34" s="85"/>
      <c r="U34" s="85"/>
      <c r="V34" s="85"/>
      <c r="W34" s="85"/>
      <c r="X34" s="85"/>
      <c r="Y34" s="85"/>
      <c r="Z34" s="85"/>
      <c r="AA34" s="85"/>
      <c r="AB34" s="85"/>
      <c r="AC34" s="85"/>
      <c r="AD34" s="85"/>
      <c r="AE34" s="85"/>
      <c r="AF34" s="85"/>
      <c r="AG34" s="85"/>
      <c r="AH34" s="85" t="s">
        <v>133</v>
      </c>
      <c r="AI34" s="85"/>
      <c r="AJ34" s="85"/>
      <c r="AK34" s="85"/>
      <c r="AL34" s="85"/>
      <c r="AM34" s="85"/>
      <c r="AN34" s="87"/>
    </row>
    <row r="35" spans="1:40">
      <c r="A35" s="84">
        <v>31</v>
      </c>
      <c r="B35" s="85" t="s">
        <v>191</v>
      </c>
      <c r="C35" s="85" t="s">
        <v>109</v>
      </c>
      <c r="D35" s="85" t="s">
        <v>110</v>
      </c>
      <c r="E35" s="85"/>
      <c r="F35" s="85"/>
      <c r="G35" s="85"/>
      <c r="H35" s="85"/>
      <c r="I35" s="85" t="s">
        <v>127</v>
      </c>
      <c r="J35" s="85" t="s">
        <v>143</v>
      </c>
      <c r="K35" s="85"/>
      <c r="L35" s="85" t="s">
        <v>129</v>
      </c>
      <c r="M35" s="85"/>
      <c r="N35" s="85"/>
      <c r="O35" s="85"/>
      <c r="P35" s="85"/>
      <c r="Q35" s="85"/>
      <c r="R35" s="85"/>
      <c r="S35" s="85"/>
      <c r="T35" s="85"/>
      <c r="U35" s="85"/>
      <c r="V35" s="85"/>
      <c r="W35" s="85"/>
      <c r="X35" s="85"/>
      <c r="Y35" s="85"/>
      <c r="Z35" s="85"/>
      <c r="AA35" s="85"/>
      <c r="AB35" s="85"/>
      <c r="AC35" s="85"/>
      <c r="AD35" s="85"/>
      <c r="AE35" s="85"/>
      <c r="AF35" s="85"/>
      <c r="AG35" s="85"/>
      <c r="AH35" s="85"/>
      <c r="AI35" s="85" t="s">
        <v>133</v>
      </c>
      <c r="AJ35" s="85"/>
      <c r="AK35" s="85"/>
      <c r="AL35" s="85"/>
      <c r="AM35" s="85"/>
      <c r="AN35" s="87"/>
    </row>
    <row r="36" spans="1:40">
      <c r="A36" s="84">
        <v>32</v>
      </c>
      <c r="B36" s="85" t="s">
        <v>192</v>
      </c>
      <c r="C36" s="85" t="s">
        <v>109</v>
      </c>
      <c r="D36" s="85" t="s">
        <v>169</v>
      </c>
      <c r="E36" s="85"/>
      <c r="F36" s="85"/>
      <c r="G36" s="85"/>
      <c r="H36" s="85"/>
      <c r="I36" s="85" t="s">
        <v>114</v>
      </c>
      <c r="J36" s="85" t="s">
        <v>155</v>
      </c>
      <c r="K36" s="85"/>
      <c r="L36" s="85" t="s">
        <v>117</v>
      </c>
      <c r="M36" s="85"/>
      <c r="N36" s="85"/>
      <c r="O36" s="85"/>
      <c r="P36" s="85"/>
      <c r="Q36" s="85"/>
      <c r="R36" s="85"/>
      <c r="S36" s="85"/>
      <c r="T36" s="85"/>
      <c r="U36" s="85"/>
      <c r="V36" s="85"/>
      <c r="W36" s="85"/>
      <c r="X36" s="85"/>
      <c r="Y36" s="85"/>
      <c r="Z36" s="85"/>
      <c r="AA36" s="85"/>
      <c r="AB36" s="85"/>
      <c r="AC36" s="85"/>
      <c r="AD36" s="85"/>
      <c r="AE36" s="85"/>
      <c r="AF36" s="85"/>
      <c r="AG36" s="85"/>
      <c r="AH36" s="85"/>
      <c r="AI36" s="85"/>
      <c r="AJ36" s="85" t="s">
        <v>133</v>
      </c>
      <c r="AK36" s="85"/>
      <c r="AL36" s="85"/>
      <c r="AM36" s="85"/>
      <c r="AN36" s="87"/>
    </row>
    <row r="37" spans="1:40">
      <c r="A37" s="84">
        <v>33</v>
      </c>
      <c r="B37" s="85" t="s">
        <v>193</v>
      </c>
      <c r="C37" s="85" t="s">
        <v>109</v>
      </c>
      <c r="D37" s="85" t="s">
        <v>110</v>
      </c>
      <c r="E37" s="85"/>
      <c r="F37" s="85"/>
      <c r="G37" s="85"/>
      <c r="H37" s="85"/>
      <c r="I37" s="85" t="s">
        <v>127</v>
      </c>
      <c r="J37" s="85" t="s">
        <v>115</v>
      </c>
      <c r="K37" s="85"/>
      <c r="L37" s="85" t="s">
        <v>129</v>
      </c>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t="s">
        <v>133</v>
      </c>
      <c r="AL37" s="85"/>
      <c r="AM37" s="85"/>
      <c r="AN37" s="87"/>
    </row>
    <row r="38" spans="1:40">
      <c r="A38" s="84">
        <v>34</v>
      </c>
      <c r="B38" s="85" t="s">
        <v>194</v>
      </c>
      <c r="C38" s="85" t="s">
        <v>109</v>
      </c>
      <c r="D38" s="85" t="s">
        <v>169</v>
      </c>
      <c r="E38" s="85"/>
      <c r="F38" s="85"/>
      <c r="G38" s="85"/>
      <c r="H38" s="85"/>
      <c r="I38" s="85" t="s">
        <v>114</v>
      </c>
      <c r="J38" s="85" t="s">
        <v>143</v>
      </c>
      <c r="K38" s="85"/>
      <c r="L38" s="85" t="s">
        <v>117</v>
      </c>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t="s">
        <v>133</v>
      </c>
      <c r="AM38" s="85"/>
      <c r="AN38" s="87"/>
    </row>
    <row r="39" spans="1:40">
      <c r="A39" s="84">
        <v>35</v>
      </c>
      <c r="B39" s="85" t="s">
        <v>195</v>
      </c>
      <c r="C39" s="85" t="s">
        <v>109</v>
      </c>
      <c r="D39" s="85" t="s">
        <v>110</v>
      </c>
      <c r="E39" s="85"/>
      <c r="F39" s="85"/>
      <c r="G39" s="86"/>
      <c r="H39" s="85"/>
      <c r="I39" s="85"/>
      <c r="J39" s="85"/>
      <c r="K39" s="85"/>
      <c r="L39" s="85" t="s">
        <v>129</v>
      </c>
      <c r="M39" s="85" t="s">
        <v>118</v>
      </c>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t="s">
        <v>133</v>
      </c>
      <c r="AN39" s="87"/>
    </row>
    <row r="40" spans="1:40">
      <c r="A40" s="84">
        <v>36</v>
      </c>
      <c r="B40" s="85" t="s">
        <v>196</v>
      </c>
      <c r="C40" s="85" t="s">
        <v>109</v>
      </c>
      <c r="D40" s="85" t="s">
        <v>110</v>
      </c>
      <c r="E40" s="85"/>
      <c r="F40" s="85"/>
      <c r="G40" s="86"/>
      <c r="H40" s="85"/>
      <c r="I40" s="85"/>
      <c r="J40" s="85"/>
      <c r="K40" s="85"/>
      <c r="L40" s="85" t="s">
        <v>117</v>
      </c>
      <c r="M40" s="85" t="s">
        <v>118</v>
      </c>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7" t="s">
        <v>133</v>
      </c>
    </row>
    <row r="41" spans="1:40">
      <c r="A41" s="84">
        <v>37</v>
      </c>
      <c r="B41" s="85" t="s">
        <v>197</v>
      </c>
      <c r="C41" s="85" t="s">
        <v>109</v>
      </c>
      <c r="D41" s="85" t="s">
        <v>110</v>
      </c>
      <c r="E41" s="85"/>
      <c r="F41" s="85"/>
      <c r="G41" s="86"/>
      <c r="H41" s="85"/>
      <c r="I41" s="85"/>
      <c r="J41" s="85"/>
      <c r="K41" s="85"/>
      <c r="L41" s="85" t="s">
        <v>129</v>
      </c>
      <c r="M41" s="85" t="s">
        <v>130</v>
      </c>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t="s">
        <v>133</v>
      </c>
      <c r="AN41" s="87"/>
    </row>
    <row r="42" spans="1:40" ht="16.2" thickBot="1">
      <c r="A42" s="105">
        <v>38</v>
      </c>
      <c r="B42" s="89" t="s">
        <v>198</v>
      </c>
      <c r="C42" s="89" t="s">
        <v>109</v>
      </c>
      <c r="D42" s="89" t="s">
        <v>110</v>
      </c>
      <c r="E42" s="89"/>
      <c r="F42" s="89"/>
      <c r="G42" s="91"/>
      <c r="H42" s="89"/>
      <c r="I42" s="89"/>
      <c r="J42" s="89"/>
      <c r="K42" s="89"/>
      <c r="L42" s="89" t="s">
        <v>117</v>
      </c>
      <c r="M42" s="89" t="s">
        <v>130</v>
      </c>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90" t="s">
        <v>133</v>
      </c>
    </row>
    <row r="45" spans="1:40" ht="34.200000000000003" customHeight="1">
      <c r="A45" s="147" t="s">
        <v>199</v>
      </c>
      <c r="B45" s="147"/>
      <c r="C45" s="147"/>
      <c r="D45" s="141" t="s">
        <v>200</v>
      </c>
      <c r="E45" s="141"/>
      <c r="F45" s="141"/>
      <c r="G45" s="141"/>
    </row>
    <row r="46" spans="1:40" ht="16.2" thickBot="1">
      <c r="A46" s="148"/>
      <c r="B46" s="148"/>
      <c r="C46" s="148"/>
    </row>
    <row r="47" spans="1:40">
      <c r="A47" s="149" t="s">
        <v>69</v>
      </c>
      <c r="B47" s="139" t="s">
        <v>70</v>
      </c>
      <c r="C47" s="139" t="s">
        <v>71</v>
      </c>
      <c r="D47" s="139" t="s">
        <v>72</v>
      </c>
      <c r="E47" s="143"/>
      <c r="F47" s="139" t="s">
        <v>73</v>
      </c>
      <c r="G47" s="139" t="s">
        <v>201</v>
      </c>
      <c r="H47" s="139" t="s">
        <v>202</v>
      </c>
      <c r="I47" s="139" t="s">
        <v>74</v>
      </c>
      <c r="J47" s="139" t="s">
        <v>75</v>
      </c>
      <c r="K47" s="139" t="s">
        <v>76</v>
      </c>
      <c r="L47" s="139" t="s">
        <v>77</v>
      </c>
      <c r="M47" s="139" t="s">
        <v>78</v>
      </c>
      <c r="N47" s="139" t="s">
        <v>79</v>
      </c>
      <c r="O47" s="139" t="s">
        <v>80</v>
      </c>
      <c r="P47" s="139" t="s">
        <v>81</v>
      </c>
      <c r="Q47" s="139" t="s">
        <v>34</v>
      </c>
      <c r="R47" s="139" t="s">
        <v>82</v>
      </c>
      <c r="S47" s="139"/>
      <c r="T47" s="139"/>
      <c r="U47" s="139" t="s">
        <v>83</v>
      </c>
      <c r="V47" s="139"/>
      <c r="W47" s="139"/>
      <c r="X47" s="139" t="s">
        <v>84</v>
      </c>
      <c r="Y47" s="139" t="s">
        <v>85</v>
      </c>
      <c r="Z47" s="139"/>
      <c r="AA47" s="139"/>
      <c r="AB47" s="139" t="s">
        <v>86</v>
      </c>
      <c r="AC47" s="139" t="s">
        <v>87</v>
      </c>
      <c r="AD47" s="139"/>
      <c r="AE47" s="139" t="s">
        <v>88</v>
      </c>
      <c r="AF47" s="139"/>
      <c r="AG47" s="139"/>
      <c r="AH47" s="139"/>
      <c r="AI47" s="139"/>
      <c r="AJ47" s="139"/>
      <c r="AK47" s="139"/>
      <c r="AL47" s="139" t="s">
        <v>89</v>
      </c>
      <c r="AM47" s="139"/>
      <c r="AN47" s="140"/>
    </row>
    <row r="48" spans="1:40" ht="28.8">
      <c r="A48" s="150"/>
      <c r="B48" s="142"/>
      <c r="C48" s="142"/>
      <c r="D48" s="142"/>
      <c r="E48" s="144"/>
      <c r="F48" s="142"/>
      <c r="G48" s="142"/>
      <c r="H48" s="142"/>
      <c r="I48" s="142"/>
      <c r="J48" s="142"/>
      <c r="K48" s="142"/>
      <c r="L48" s="142"/>
      <c r="M48" s="142"/>
      <c r="N48" s="142"/>
      <c r="O48" s="142"/>
      <c r="P48" s="142"/>
      <c r="Q48" s="142"/>
      <c r="R48" s="106" t="s">
        <v>91</v>
      </c>
      <c r="S48" s="106" t="s">
        <v>92</v>
      </c>
      <c r="T48" s="106" t="s">
        <v>93</v>
      </c>
      <c r="U48" s="106" t="s">
        <v>94</v>
      </c>
      <c r="V48" s="106" t="s">
        <v>95</v>
      </c>
      <c r="W48" s="106" t="s">
        <v>96</v>
      </c>
      <c r="X48" s="142"/>
      <c r="Y48" s="106" t="s">
        <v>97</v>
      </c>
      <c r="Z48" s="106" t="s">
        <v>26</v>
      </c>
      <c r="AA48" s="106" t="s">
        <v>98</v>
      </c>
      <c r="AB48" s="142"/>
      <c r="AC48" s="106" t="s">
        <v>99</v>
      </c>
      <c r="AD48" s="106" t="s">
        <v>100</v>
      </c>
      <c r="AE48" s="106" t="s">
        <v>101</v>
      </c>
      <c r="AF48" s="106" t="s">
        <v>40</v>
      </c>
      <c r="AG48" s="106" t="s">
        <v>20</v>
      </c>
      <c r="AH48" s="106" t="s">
        <v>16</v>
      </c>
      <c r="AI48" s="106" t="s">
        <v>22</v>
      </c>
      <c r="AJ48" s="106" t="s">
        <v>102</v>
      </c>
      <c r="AK48" s="106" t="s">
        <v>24</v>
      </c>
      <c r="AL48" s="106" t="s">
        <v>103</v>
      </c>
      <c r="AM48" s="106" t="s">
        <v>104</v>
      </c>
      <c r="AN48" s="107" t="s">
        <v>105</v>
      </c>
    </row>
    <row r="49" spans="1:40" ht="28.8">
      <c r="A49" s="108">
        <v>1</v>
      </c>
      <c r="B49" s="109" t="s">
        <v>108</v>
      </c>
      <c r="C49" s="109" t="s">
        <v>109</v>
      </c>
      <c r="D49" s="109" t="s">
        <v>110</v>
      </c>
      <c r="E49" s="109"/>
      <c r="F49" s="109" t="s">
        <v>203</v>
      </c>
      <c r="G49" s="109" t="b">
        <v>1</v>
      </c>
      <c r="H49" s="109" t="b">
        <v>0</v>
      </c>
      <c r="I49" s="110" t="s">
        <v>204</v>
      </c>
      <c r="J49" s="109" t="s">
        <v>113</v>
      </c>
      <c r="K49" s="109" t="s">
        <v>114</v>
      </c>
      <c r="L49" s="109" t="s">
        <v>115</v>
      </c>
      <c r="M49" s="109" t="s">
        <v>116</v>
      </c>
      <c r="N49" s="109" t="s">
        <v>117</v>
      </c>
      <c r="O49" s="109" t="s">
        <v>16</v>
      </c>
      <c r="P49" s="109" t="s">
        <v>183</v>
      </c>
      <c r="Q49" s="109" t="s">
        <v>183</v>
      </c>
      <c r="R49" s="109" t="s">
        <v>120</v>
      </c>
      <c r="S49" s="109" t="s">
        <v>183</v>
      </c>
      <c r="T49" s="109" t="s">
        <v>120</v>
      </c>
      <c r="U49" s="109" t="s">
        <v>121</v>
      </c>
      <c r="V49" s="109" t="s">
        <v>122</v>
      </c>
      <c r="W49" s="109" t="s">
        <v>120</v>
      </c>
      <c r="X49" s="109" t="s">
        <v>120</v>
      </c>
      <c r="Y49" s="109"/>
      <c r="Z49" s="109"/>
      <c r="AA49" s="109"/>
      <c r="AB49" s="109"/>
      <c r="AC49" s="109"/>
      <c r="AD49" s="109"/>
      <c r="AE49" s="109"/>
      <c r="AF49" s="109"/>
      <c r="AG49" s="109"/>
      <c r="AH49" s="109"/>
      <c r="AI49" s="109"/>
      <c r="AJ49" s="109"/>
      <c r="AK49" s="109"/>
      <c r="AL49" s="109"/>
      <c r="AM49" s="109"/>
      <c r="AN49" s="111"/>
    </row>
    <row r="50" spans="1:40" ht="41.4">
      <c r="A50" s="108">
        <v>2</v>
      </c>
      <c r="B50" s="109" t="s">
        <v>123</v>
      </c>
      <c r="C50" s="109" t="s">
        <v>109</v>
      </c>
      <c r="D50" s="109" t="s">
        <v>110</v>
      </c>
      <c r="E50" s="109"/>
      <c r="F50" s="109" t="s">
        <v>205</v>
      </c>
      <c r="G50" s="109" t="b">
        <v>0</v>
      </c>
      <c r="H50" s="109" t="b">
        <v>1</v>
      </c>
      <c r="I50" s="110" t="s">
        <v>125</v>
      </c>
      <c r="J50" s="109" t="s">
        <v>126</v>
      </c>
      <c r="K50" s="109" t="s">
        <v>127</v>
      </c>
      <c r="L50" s="109" t="s">
        <v>115</v>
      </c>
      <c r="M50" s="109" t="s">
        <v>206</v>
      </c>
      <c r="N50" s="109" t="s">
        <v>129</v>
      </c>
      <c r="O50" s="109" t="s">
        <v>207</v>
      </c>
      <c r="P50" s="109" t="s">
        <v>119</v>
      </c>
      <c r="Q50" s="109" t="s">
        <v>100</v>
      </c>
      <c r="R50" s="109" t="s">
        <v>120</v>
      </c>
      <c r="S50" s="109" t="s">
        <v>120</v>
      </c>
      <c r="T50" s="109" t="s">
        <v>120</v>
      </c>
      <c r="U50" s="109" t="s">
        <v>121</v>
      </c>
      <c r="V50" s="109" t="s">
        <v>122</v>
      </c>
      <c r="W50" s="109" t="s">
        <v>120</v>
      </c>
      <c r="X50" s="109" t="s">
        <v>120</v>
      </c>
      <c r="Y50" s="109" t="s">
        <v>133</v>
      </c>
      <c r="Z50" s="109"/>
      <c r="AA50" s="109"/>
      <c r="AB50" s="109" t="s">
        <v>134</v>
      </c>
      <c r="AC50" s="109"/>
      <c r="AD50" s="109" t="s">
        <v>133</v>
      </c>
      <c r="AE50" s="109"/>
      <c r="AF50" s="109"/>
      <c r="AG50" s="109"/>
      <c r="AH50" s="109"/>
      <c r="AI50" s="109"/>
      <c r="AJ50" s="109"/>
      <c r="AK50" s="109"/>
      <c r="AL50" s="109"/>
      <c r="AM50" s="109"/>
      <c r="AN50" s="111"/>
    </row>
    <row r="51" spans="1:40" ht="28.8">
      <c r="A51" s="108">
        <v>3</v>
      </c>
      <c r="B51" s="109" t="s">
        <v>135</v>
      </c>
      <c r="C51" s="109" t="s">
        <v>109</v>
      </c>
      <c r="D51" s="109" t="s">
        <v>110</v>
      </c>
      <c r="E51" s="109"/>
      <c r="F51" s="109" t="s">
        <v>208</v>
      </c>
      <c r="G51" s="109" t="b">
        <v>1</v>
      </c>
      <c r="H51" s="109" t="b">
        <v>0</v>
      </c>
      <c r="I51" s="110" t="s">
        <v>137</v>
      </c>
      <c r="J51" s="109" t="s">
        <v>113</v>
      </c>
      <c r="K51" s="109" t="s">
        <v>114</v>
      </c>
      <c r="L51" s="109" t="s">
        <v>115</v>
      </c>
      <c r="M51" s="109" t="s">
        <v>209</v>
      </c>
      <c r="N51" s="109" t="s">
        <v>117</v>
      </c>
      <c r="O51" s="109" t="s">
        <v>16</v>
      </c>
      <c r="P51" s="109" t="s">
        <v>183</v>
      </c>
      <c r="Q51" s="109" t="s">
        <v>183</v>
      </c>
      <c r="R51" s="109" t="s">
        <v>120</v>
      </c>
      <c r="S51" s="109" t="s">
        <v>183</v>
      </c>
      <c r="T51" s="109" t="s">
        <v>120</v>
      </c>
      <c r="U51" s="109" t="s">
        <v>131</v>
      </c>
      <c r="V51" s="109" t="s">
        <v>132</v>
      </c>
      <c r="W51" s="109" t="s">
        <v>120</v>
      </c>
      <c r="X51" s="109" t="s">
        <v>120</v>
      </c>
      <c r="Y51" s="109"/>
      <c r="Z51" s="109"/>
      <c r="AA51" s="109"/>
      <c r="AB51" s="109"/>
      <c r="AC51" s="109"/>
      <c r="AD51" s="109"/>
      <c r="AE51" s="109"/>
      <c r="AF51" s="109"/>
      <c r="AG51" s="109"/>
      <c r="AH51" s="109"/>
      <c r="AI51" s="109"/>
      <c r="AJ51" s="109"/>
      <c r="AK51" s="109"/>
      <c r="AL51" s="109"/>
      <c r="AM51" s="109"/>
      <c r="AN51" s="111"/>
    </row>
    <row r="52" spans="1:40" ht="41.4">
      <c r="A52" s="108">
        <v>4</v>
      </c>
      <c r="B52" s="109" t="s">
        <v>140</v>
      </c>
      <c r="C52" s="109" t="s">
        <v>109</v>
      </c>
      <c r="D52" s="109" t="s">
        <v>110</v>
      </c>
      <c r="E52" s="109"/>
      <c r="F52" s="109" t="s">
        <v>210</v>
      </c>
      <c r="G52" s="109" t="b">
        <v>0</v>
      </c>
      <c r="H52" s="109" t="b">
        <v>1</v>
      </c>
      <c r="I52" s="110" t="s">
        <v>142</v>
      </c>
      <c r="J52" s="109" t="s">
        <v>138</v>
      </c>
      <c r="K52" s="109" t="s">
        <v>127</v>
      </c>
      <c r="L52" s="109" t="s">
        <v>115</v>
      </c>
      <c r="M52" s="109" t="s">
        <v>211</v>
      </c>
      <c r="N52" s="109" t="s">
        <v>129</v>
      </c>
      <c r="O52" s="109" t="s">
        <v>207</v>
      </c>
      <c r="P52" s="109" t="s">
        <v>183</v>
      </c>
      <c r="Q52" s="109" t="s">
        <v>183</v>
      </c>
      <c r="R52" s="109" t="s">
        <v>120</v>
      </c>
      <c r="S52" s="109" t="s">
        <v>144</v>
      </c>
      <c r="T52" s="109" t="s">
        <v>120</v>
      </c>
      <c r="U52" s="109" t="s">
        <v>131</v>
      </c>
      <c r="V52" s="109" t="s">
        <v>132</v>
      </c>
      <c r="W52" s="109" t="s">
        <v>120</v>
      </c>
      <c r="X52" s="109" t="s">
        <v>120</v>
      </c>
      <c r="Y52" s="109"/>
      <c r="Z52" s="109"/>
      <c r="AA52" s="109"/>
      <c r="AB52" s="109"/>
      <c r="AC52" s="109"/>
      <c r="AD52" s="109"/>
      <c r="AE52" s="109"/>
      <c r="AF52" s="109"/>
      <c r="AG52" s="109"/>
      <c r="AH52" s="109"/>
      <c r="AI52" s="109"/>
      <c r="AJ52" s="109"/>
      <c r="AK52" s="109"/>
      <c r="AL52" s="109"/>
      <c r="AM52" s="109"/>
      <c r="AN52" s="111"/>
    </row>
    <row r="53" spans="1:40" ht="28.8">
      <c r="A53" s="108">
        <v>5</v>
      </c>
      <c r="B53" s="109" t="s">
        <v>145</v>
      </c>
      <c r="C53" s="109" t="s">
        <v>109</v>
      </c>
      <c r="D53" s="109" t="s">
        <v>110</v>
      </c>
      <c r="E53" s="109"/>
      <c r="F53" s="109" t="s">
        <v>212</v>
      </c>
      <c r="G53" s="109" t="b">
        <v>1</v>
      </c>
      <c r="H53" s="109" t="b">
        <v>0</v>
      </c>
      <c r="I53" s="110" t="s">
        <v>147</v>
      </c>
      <c r="J53" s="109" t="s">
        <v>113</v>
      </c>
      <c r="K53" s="109" t="s">
        <v>114</v>
      </c>
      <c r="L53" s="109" t="s">
        <v>115</v>
      </c>
      <c r="M53" s="109" t="s">
        <v>213</v>
      </c>
      <c r="N53" s="109" t="s">
        <v>117</v>
      </c>
      <c r="O53" s="109" t="s">
        <v>16</v>
      </c>
      <c r="P53" s="109" t="s">
        <v>183</v>
      </c>
      <c r="Q53" s="109" t="s">
        <v>183</v>
      </c>
      <c r="R53" s="109" t="s">
        <v>120</v>
      </c>
      <c r="S53" s="109" t="s">
        <v>183</v>
      </c>
      <c r="T53" s="109" t="s">
        <v>120</v>
      </c>
      <c r="U53" s="109" t="s">
        <v>131</v>
      </c>
      <c r="V53" s="109" t="s">
        <v>132</v>
      </c>
      <c r="W53" s="109" t="s">
        <v>120</v>
      </c>
      <c r="X53" s="109" t="s">
        <v>120</v>
      </c>
      <c r="Y53" s="109"/>
      <c r="Z53" s="109"/>
      <c r="AA53" s="109"/>
      <c r="AB53" s="109"/>
      <c r="AC53" s="109"/>
      <c r="AD53" s="109"/>
      <c r="AE53" s="109"/>
      <c r="AF53" s="109"/>
      <c r="AG53" s="109"/>
      <c r="AH53" s="109"/>
      <c r="AI53" s="109"/>
      <c r="AJ53" s="109"/>
      <c r="AK53" s="109"/>
      <c r="AL53" s="109"/>
      <c r="AM53" s="109"/>
      <c r="AN53" s="111"/>
    </row>
    <row r="54" spans="1:40" ht="28.8">
      <c r="A54" s="108">
        <v>6</v>
      </c>
      <c r="B54" s="109" t="s">
        <v>148</v>
      </c>
      <c r="C54" s="109" t="s">
        <v>109</v>
      </c>
      <c r="D54" s="109" t="s">
        <v>110</v>
      </c>
      <c r="E54" s="109"/>
      <c r="F54" s="109" t="s">
        <v>214</v>
      </c>
      <c r="G54" s="109" t="b">
        <v>0</v>
      </c>
      <c r="H54" s="109" t="b">
        <v>1</v>
      </c>
      <c r="I54" s="110" t="s">
        <v>150</v>
      </c>
      <c r="J54" s="109" t="s">
        <v>126</v>
      </c>
      <c r="K54" s="109" t="s">
        <v>127</v>
      </c>
      <c r="L54" s="109" t="s">
        <v>115</v>
      </c>
      <c r="M54" s="109" t="s">
        <v>215</v>
      </c>
      <c r="N54" s="109" t="s">
        <v>129</v>
      </c>
      <c r="O54" s="109" t="s">
        <v>16</v>
      </c>
      <c r="P54" s="109" t="s">
        <v>151</v>
      </c>
      <c r="Q54" s="109" t="s">
        <v>119</v>
      </c>
      <c r="R54" s="109" t="s">
        <v>120</v>
      </c>
      <c r="S54" s="109" t="s">
        <v>120</v>
      </c>
      <c r="T54" s="109" t="s">
        <v>216</v>
      </c>
      <c r="U54" s="109" t="s">
        <v>131</v>
      </c>
      <c r="V54" s="109" t="s">
        <v>132</v>
      </c>
      <c r="W54" s="109" t="s">
        <v>120</v>
      </c>
      <c r="X54" s="109" t="s">
        <v>216</v>
      </c>
      <c r="Y54" s="109"/>
      <c r="Z54" s="109" t="s">
        <v>133</v>
      </c>
      <c r="AA54" s="109"/>
      <c r="AB54" s="109" t="s">
        <v>134</v>
      </c>
      <c r="AC54" s="109"/>
      <c r="AD54" s="109" t="s">
        <v>133</v>
      </c>
      <c r="AE54" s="109"/>
      <c r="AF54" s="109"/>
      <c r="AG54" s="109"/>
      <c r="AH54" s="109"/>
      <c r="AI54" s="109"/>
      <c r="AJ54" s="109"/>
      <c r="AK54" s="109"/>
      <c r="AL54" s="109"/>
      <c r="AM54" s="109"/>
      <c r="AN54" s="111"/>
    </row>
    <row r="55" spans="1:40" ht="28.8">
      <c r="A55" s="108">
        <v>7</v>
      </c>
      <c r="B55" s="109" t="s">
        <v>152</v>
      </c>
      <c r="C55" s="109" t="s">
        <v>109</v>
      </c>
      <c r="D55" s="109" t="s">
        <v>110</v>
      </c>
      <c r="E55" s="109"/>
      <c r="F55" s="109" t="s">
        <v>217</v>
      </c>
      <c r="G55" s="109" t="b">
        <v>1</v>
      </c>
      <c r="H55" s="109" t="b">
        <v>0</v>
      </c>
      <c r="I55" s="110" t="s">
        <v>154</v>
      </c>
      <c r="J55" s="109" t="s">
        <v>113</v>
      </c>
      <c r="K55" s="109" t="s">
        <v>114</v>
      </c>
      <c r="L55" s="109" t="s">
        <v>115</v>
      </c>
      <c r="M55" s="109" t="s">
        <v>218</v>
      </c>
      <c r="N55" s="109" t="s">
        <v>117</v>
      </c>
      <c r="O55" s="109" t="s">
        <v>16</v>
      </c>
      <c r="P55" s="109" t="s">
        <v>183</v>
      </c>
      <c r="Q55" s="109" t="s">
        <v>183</v>
      </c>
      <c r="R55" s="109" t="s">
        <v>120</v>
      </c>
      <c r="S55" s="109" t="s">
        <v>183</v>
      </c>
      <c r="T55" s="109" t="s">
        <v>216</v>
      </c>
      <c r="U55" s="109" t="s">
        <v>121</v>
      </c>
      <c r="V55" s="109" t="s">
        <v>122</v>
      </c>
      <c r="W55" s="109" t="s">
        <v>120</v>
      </c>
      <c r="X55" s="109" t="s">
        <v>216</v>
      </c>
      <c r="Y55" s="109"/>
      <c r="Z55" s="109"/>
      <c r="AA55" s="109"/>
      <c r="AB55" s="109"/>
      <c r="AC55" s="109"/>
      <c r="AD55" s="109"/>
      <c r="AE55" s="109"/>
      <c r="AF55" s="109"/>
      <c r="AG55" s="109"/>
      <c r="AH55" s="109"/>
      <c r="AI55" s="109"/>
      <c r="AJ55" s="109"/>
      <c r="AK55" s="109"/>
      <c r="AL55" s="109"/>
      <c r="AM55" s="109"/>
      <c r="AN55" s="111"/>
    </row>
    <row r="56" spans="1:40" ht="28.8">
      <c r="A56" s="108">
        <v>8</v>
      </c>
      <c r="B56" s="109" t="s">
        <v>156</v>
      </c>
      <c r="C56" s="109" t="s">
        <v>109</v>
      </c>
      <c r="D56" s="109" t="s">
        <v>110</v>
      </c>
      <c r="E56" s="109"/>
      <c r="F56" s="109" t="s">
        <v>219</v>
      </c>
      <c r="G56" s="109" t="b">
        <v>0</v>
      </c>
      <c r="H56" s="109" t="b">
        <v>1</v>
      </c>
      <c r="I56" s="112" t="s">
        <v>158</v>
      </c>
      <c r="J56" s="109" t="s">
        <v>126</v>
      </c>
      <c r="K56" s="109" t="s">
        <v>127</v>
      </c>
      <c r="L56" s="109" t="s">
        <v>115</v>
      </c>
      <c r="M56" s="109" t="s">
        <v>139</v>
      </c>
      <c r="N56" s="109" t="s">
        <v>129</v>
      </c>
      <c r="O56" s="109" t="s">
        <v>16</v>
      </c>
      <c r="P56" s="109" t="s">
        <v>183</v>
      </c>
      <c r="Q56" s="109" t="s">
        <v>183</v>
      </c>
      <c r="R56" s="109" t="s">
        <v>120</v>
      </c>
      <c r="S56" s="109" t="s">
        <v>144</v>
      </c>
      <c r="T56" s="109" t="s">
        <v>120</v>
      </c>
      <c r="U56" s="109" t="s">
        <v>121</v>
      </c>
      <c r="V56" s="109" t="s">
        <v>122</v>
      </c>
      <c r="W56" s="109" t="s">
        <v>120</v>
      </c>
      <c r="X56" s="109" t="s">
        <v>120</v>
      </c>
      <c r="Y56" s="109"/>
      <c r="Z56" s="109"/>
      <c r="AA56" s="109"/>
      <c r="AB56" s="109"/>
      <c r="AC56" s="109"/>
      <c r="AD56" s="109"/>
      <c r="AE56" s="109"/>
      <c r="AF56" s="109"/>
      <c r="AG56" s="109"/>
      <c r="AH56" s="109"/>
      <c r="AI56" s="109"/>
      <c r="AJ56" s="109"/>
      <c r="AK56" s="109"/>
      <c r="AL56" s="109"/>
      <c r="AM56" s="109"/>
      <c r="AN56" s="111"/>
    </row>
    <row r="57" spans="1:40" ht="28.8">
      <c r="A57" s="108">
        <v>9</v>
      </c>
      <c r="B57" s="109" t="s">
        <v>159</v>
      </c>
      <c r="C57" s="109" t="s">
        <v>109</v>
      </c>
      <c r="D57" s="109" t="s">
        <v>110</v>
      </c>
      <c r="E57" s="109"/>
      <c r="F57" s="109" t="s">
        <v>220</v>
      </c>
      <c r="G57" s="109" t="b">
        <v>1</v>
      </c>
      <c r="H57" s="109" t="b">
        <v>0</v>
      </c>
      <c r="I57" s="112" t="s">
        <v>161</v>
      </c>
      <c r="J57" s="109" t="s">
        <v>113</v>
      </c>
      <c r="K57" s="109" t="s">
        <v>114</v>
      </c>
      <c r="L57" s="109" t="s">
        <v>143</v>
      </c>
      <c r="M57" s="109" t="s">
        <v>116</v>
      </c>
      <c r="N57" s="109" t="s">
        <v>117</v>
      </c>
      <c r="O57" s="109" t="s">
        <v>207</v>
      </c>
      <c r="P57" s="109" t="s">
        <v>100</v>
      </c>
      <c r="Q57" s="109" t="s">
        <v>100</v>
      </c>
      <c r="R57" s="109" t="s">
        <v>120</v>
      </c>
      <c r="S57" s="109" t="s">
        <v>183</v>
      </c>
      <c r="T57" s="109" t="s">
        <v>120</v>
      </c>
      <c r="U57" s="109" t="s">
        <v>131</v>
      </c>
      <c r="V57" s="109" t="s">
        <v>132</v>
      </c>
      <c r="W57" s="109" t="s">
        <v>120</v>
      </c>
      <c r="X57" s="109" t="s">
        <v>120</v>
      </c>
      <c r="Y57" s="109"/>
      <c r="Z57" s="109"/>
      <c r="AA57" s="109" t="s">
        <v>133</v>
      </c>
      <c r="AB57" s="113" t="s">
        <v>162</v>
      </c>
      <c r="AC57" s="109" t="s">
        <v>133</v>
      </c>
      <c r="AD57" s="109"/>
      <c r="AE57" s="109"/>
      <c r="AF57" s="109"/>
      <c r="AG57" s="109"/>
      <c r="AH57" s="109"/>
      <c r="AI57" s="109"/>
      <c r="AJ57" s="109"/>
      <c r="AK57" s="109"/>
      <c r="AL57" s="109"/>
      <c r="AM57" s="109"/>
      <c r="AN57" s="111"/>
    </row>
    <row r="58" spans="1:40" ht="28.8">
      <c r="A58" s="108">
        <v>10</v>
      </c>
      <c r="B58" s="109" t="s">
        <v>163</v>
      </c>
      <c r="C58" s="109" t="s">
        <v>109</v>
      </c>
      <c r="D58" s="109" t="s">
        <v>110</v>
      </c>
      <c r="E58" s="109"/>
      <c r="F58" s="109" t="s">
        <v>203</v>
      </c>
      <c r="G58" s="109" t="b">
        <v>1</v>
      </c>
      <c r="H58" s="109" t="b">
        <v>0</v>
      </c>
      <c r="I58" s="112" t="s">
        <v>164</v>
      </c>
      <c r="J58" s="109" t="s">
        <v>126</v>
      </c>
      <c r="K58" s="109" t="s">
        <v>114</v>
      </c>
      <c r="L58" s="109" t="s">
        <v>143</v>
      </c>
      <c r="M58" s="109" t="s">
        <v>206</v>
      </c>
      <c r="N58" s="109" t="s">
        <v>129</v>
      </c>
      <c r="O58" s="109" t="s">
        <v>16</v>
      </c>
      <c r="P58" s="109" t="s">
        <v>183</v>
      </c>
      <c r="Q58" s="109" t="s">
        <v>183</v>
      </c>
      <c r="R58" s="109" t="s">
        <v>120</v>
      </c>
      <c r="S58" s="109" t="s">
        <v>183</v>
      </c>
      <c r="T58" s="109" t="s">
        <v>120</v>
      </c>
      <c r="U58" s="109" t="s">
        <v>121</v>
      </c>
      <c r="V58" s="109" t="s">
        <v>122</v>
      </c>
      <c r="W58" s="109" t="s">
        <v>120</v>
      </c>
      <c r="X58" s="109" t="s">
        <v>120</v>
      </c>
      <c r="Y58" s="109"/>
      <c r="Z58" s="109"/>
      <c r="AA58" s="109"/>
      <c r="AB58" s="109"/>
      <c r="AC58" s="109"/>
      <c r="AD58" s="109"/>
      <c r="AE58" s="109"/>
      <c r="AF58" s="109"/>
      <c r="AG58" s="109"/>
      <c r="AH58" s="109"/>
      <c r="AI58" s="109"/>
      <c r="AJ58" s="109"/>
      <c r="AK58" s="109"/>
      <c r="AL58" s="109"/>
      <c r="AM58" s="109"/>
      <c r="AN58" s="111"/>
    </row>
    <row r="59" spans="1:40" ht="28.8">
      <c r="A59" s="108">
        <v>11</v>
      </c>
      <c r="B59" s="109" t="s">
        <v>165</v>
      </c>
      <c r="C59" s="109" t="s">
        <v>109</v>
      </c>
      <c r="D59" s="109" t="s">
        <v>110</v>
      </c>
      <c r="E59" s="109"/>
      <c r="F59" s="109" t="s">
        <v>205</v>
      </c>
      <c r="G59" s="109" t="b">
        <v>0</v>
      </c>
      <c r="H59" s="109" t="b">
        <v>1</v>
      </c>
      <c r="I59" s="112" t="s">
        <v>167</v>
      </c>
      <c r="J59" s="109" t="s">
        <v>113</v>
      </c>
      <c r="K59" s="109" t="s">
        <v>127</v>
      </c>
      <c r="L59" s="109" t="s">
        <v>143</v>
      </c>
      <c r="M59" s="109" t="s">
        <v>209</v>
      </c>
      <c r="N59" s="109" t="s">
        <v>117</v>
      </c>
      <c r="O59" s="109" t="s">
        <v>207</v>
      </c>
      <c r="P59" s="109" t="s">
        <v>183</v>
      </c>
      <c r="Q59" s="109" t="s">
        <v>183</v>
      </c>
      <c r="R59" s="109" t="s">
        <v>120</v>
      </c>
      <c r="S59" s="109" t="s">
        <v>120</v>
      </c>
      <c r="T59" s="109" t="s">
        <v>120</v>
      </c>
      <c r="U59" s="109" t="s">
        <v>121</v>
      </c>
      <c r="V59" s="109" t="s">
        <v>122</v>
      </c>
      <c r="W59" s="109" t="s">
        <v>120</v>
      </c>
      <c r="X59" s="109" t="s">
        <v>120</v>
      </c>
      <c r="Y59" s="109"/>
      <c r="Z59" s="109"/>
      <c r="AA59" s="109"/>
      <c r="AB59" s="109"/>
      <c r="AC59" s="109"/>
      <c r="AD59" s="109"/>
      <c r="AE59" s="109"/>
      <c r="AF59" s="109"/>
      <c r="AG59" s="109"/>
      <c r="AH59" s="109"/>
      <c r="AI59" s="109"/>
      <c r="AJ59" s="109"/>
      <c r="AK59" s="109"/>
      <c r="AL59" s="109"/>
      <c r="AM59" s="109"/>
      <c r="AN59" s="111"/>
    </row>
    <row r="60" spans="1:40" ht="28.8">
      <c r="A60" s="108">
        <v>12</v>
      </c>
      <c r="B60" s="109" t="s">
        <v>168</v>
      </c>
      <c r="C60" s="109" t="s">
        <v>109</v>
      </c>
      <c r="D60" s="109" t="s">
        <v>110</v>
      </c>
      <c r="E60" s="109"/>
      <c r="F60" s="109" t="s">
        <v>208</v>
      </c>
      <c r="G60" s="109" t="b">
        <v>1</v>
      </c>
      <c r="H60" s="109" t="b">
        <v>0</v>
      </c>
      <c r="I60" s="110" t="s">
        <v>204</v>
      </c>
      <c r="J60" s="109" t="s">
        <v>126</v>
      </c>
      <c r="K60" s="109" t="s">
        <v>114</v>
      </c>
      <c r="L60" s="109" t="s">
        <v>143</v>
      </c>
      <c r="M60" s="109" t="s">
        <v>211</v>
      </c>
      <c r="N60" s="109" t="s">
        <v>129</v>
      </c>
      <c r="O60" s="109" t="s">
        <v>16</v>
      </c>
      <c r="P60" s="109" t="s">
        <v>183</v>
      </c>
      <c r="Q60" s="109" t="s">
        <v>183</v>
      </c>
      <c r="R60" s="109" t="s">
        <v>120</v>
      </c>
      <c r="S60" s="109" t="s">
        <v>183</v>
      </c>
      <c r="T60" s="109" t="s">
        <v>120</v>
      </c>
      <c r="U60" s="109" t="s">
        <v>121</v>
      </c>
      <c r="V60" s="109" t="s">
        <v>122</v>
      </c>
      <c r="W60" s="109" t="s">
        <v>120</v>
      </c>
      <c r="X60" s="109" t="s">
        <v>120</v>
      </c>
      <c r="Y60" s="109"/>
      <c r="Z60" s="109"/>
      <c r="AA60" s="109"/>
      <c r="AB60" s="109"/>
      <c r="AC60" s="109"/>
      <c r="AD60" s="109"/>
      <c r="AE60" s="109"/>
      <c r="AF60" s="109"/>
      <c r="AG60" s="109"/>
      <c r="AH60" s="109"/>
      <c r="AI60" s="109"/>
      <c r="AJ60" s="109"/>
      <c r="AK60" s="109"/>
      <c r="AL60" s="109"/>
      <c r="AM60" s="109"/>
      <c r="AN60" s="111"/>
    </row>
    <row r="61" spans="1:40" ht="41.4">
      <c r="A61" s="108">
        <v>13</v>
      </c>
      <c r="B61" s="109" t="s">
        <v>170</v>
      </c>
      <c r="C61" s="109" t="s">
        <v>109</v>
      </c>
      <c r="D61" s="109" t="s">
        <v>110</v>
      </c>
      <c r="E61" s="109"/>
      <c r="F61" s="109" t="s">
        <v>210</v>
      </c>
      <c r="G61" s="109" t="b">
        <v>0</v>
      </c>
      <c r="H61" s="109" t="b">
        <v>1</v>
      </c>
      <c r="I61" s="110" t="s">
        <v>125</v>
      </c>
      <c r="J61" s="109" t="s">
        <v>113</v>
      </c>
      <c r="K61" s="109" t="s">
        <v>127</v>
      </c>
      <c r="L61" s="109" t="s">
        <v>143</v>
      </c>
      <c r="M61" s="109" t="s">
        <v>213</v>
      </c>
      <c r="N61" s="109" t="s">
        <v>117</v>
      </c>
      <c r="O61" s="109" t="s">
        <v>16</v>
      </c>
      <c r="P61" s="109" t="s">
        <v>119</v>
      </c>
      <c r="Q61" s="109" t="s">
        <v>100</v>
      </c>
      <c r="R61" s="109" t="s">
        <v>120</v>
      </c>
      <c r="S61" s="109" t="s">
        <v>144</v>
      </c>
      <c r="T61" s="109" t="s">
        <v>120</v>
      </c>
      <c r="U61" s="109" t="s">
        <v>131</v>
      </c>
      <c r="V61" s="109" t="s">
        <v>132</v>
      </c>
      <c r="W61" s="109" t="s">
        <v>120</v>
      </c>
      <c r="X61" s="109" t="s">
        <v>120</v>
      </c>
      <c r="Y61" s="109" t="s">
        <v>133</v>
      </c>
      <c r="Z61" s="109"/>
      <c r="AA61" s="109"/>
      <c r="AB61" s="109" t="s">
        <v>162</v>
      </c>
      <c r="AC61" s="109" t="s">
        <v>133</v>
      </c>
      <c r="AD61" s="109"/>
      <c r="AE61" s="109"/>
      <c r="AF61" s="109"/>
      <c r="AG61" s="109"/>
      <c r="AH61" s="109"/>
      <c r="AI61" s="109"/>
      <c r="AJ61" s="109"/>
      <c r="AK61" s="109"/>
      <c r="AL61" s="109"/>
      <c r="AM61" s="109"/>
      <c r="AN61" s="111"/>
    </row>
    <row r="62" spans="1:40" ht="28.8">
      <c r="A62" s="108">
        <v>14</v>
      </c>
      <c r="B62" s="109" t="s">
        <v>171</v>
      </c>
      <c r="C62" s="109" t="s">
        <v>109</v>
      </c>
      <c r="D62" s="109" t="s">
        <v>110</v>
      </c>
      <c r="E62" s="109"/>
      <c r="F62" s="109" t="s">
        <v>212</v>
      </c>
      <c r="G62" s="109" t="b">
        <v>1</v>
      </c>
      <c r="H62" s="109" t="b">
        <v>0</v>
      </c>
      <c r="I62" s="110" t="s">
        <v>137</v>
      </c>
      <c r="J62" s="109" t="s">
        <v>126</v>
      </c>
      <c r="K62" s="109" t="s">
        <v>114</v>
      </c>
      <c r="L62" s="109" t="s">
        <v>143</v>
      </c>
      <c r="M62" s="109" t="s">
        <v>215</v>
      </c>
      <c r="N62" s="109" t="s">
        <v>129</v>
      </c>
      <c r="O62" s="109" t="s">
        <v>16</v>
      </c>
      <c r="P62" s="109" t="s">
        <v>183</v>
      </c>
      <c r="Q62" s="109" t="s">
        <v>183</v>
      </c>
      <c r="R62" s="109" t="s">
        <v>120</v>
      </c>
      <c r="S62" s="109" t="s">
        <v>183</v>
      </c>
      <c r="T62" s="109" t="s">
        <v>216</v>
      </c>
      <c r="U62" s="109" t="s">
        <v>131</v>
      </c>
      <c r="V62" s="109" t="s">
        <v>132</v>
      </c>
      <c r="W62" s="109" t="s">
        <v>120</v>
      </c>
      <c r="X62" s="109" t="s">
        <v>216</v>
      </c>
      <c r="Y62" s="109"/>
      <c r="Z62" s="109"/>
      <c r="AA62" s="109"/>
      <c r="AB62" s="109"/>
      <c r="AC62" s="109"/>
      <c r="AD62" s="109"/>
      <c r="AE62" s="109"/>
      <c r="AF62" s="109"/>
      <c r="AG62" s="109"/>
      <c r="AH62" s="109"/>
      <c r="AI62" s="109"/>
      <c r="AJ62" s="109"/>
      <c r="AK62" s="109"/>
      <c r="AL62" s="109"/>
      <c r="AM62" s="109"/>
      <c r="AN62" s="111"/>
    </row>
    <row r="63" spans="1:40" ht="41.4">
      <c r="A63" s="108">
        <v>15</v>
      </c>
      <c r="B63" s="109" t="s">
        <v>172</v>
      </c>
      <c r="C63" s="109" t="s">
        <v>109</v>
      </c>
      <c r="D63" s="109" t="s">
        <v>110</v>
      </c>
      <c r="E63" s="109"/>
      <c r="F63" s="109" t="s">
        <v>214</v>
      </c>
      <c r="G63" s="109" t="b">
        <v>0</v>
      </c>
      <c r="H63" s="109" t="b">
        <v>1</v>
      </c>
      <c r="I63" s="110" t="s">
        <v>142</v>
      </c>
      <c r="J63" s="109" t="s">
        <v>113</v>
      </c>
      <c r="K63" s="109" t="s">
        <v>127</v>
      </c>
      <c r="L63" s="109" t="s">
        <v>143</v>
      </c>
      <c r="M63" s="109" t="s">
        <v>218</v>
      </c>
      <c r="N63" s="109" t="s">
        <v>117</v>
      </c>
      <c r="O63" s="109" t="s">
        <v>207</v>
      </c>
      <c r="P63" s="109" t="s">
        <v>151</v>
      </c>
      <c r="Q63" s="109" t="s">
        <v>119</v>
      </c>
      <c r="R63" s="109" t="s">
        <v>120</v>
      </c>
      <c r="S63" s="109" t="s">
        <v>221</v>
      </c>
      <c r="T63" s="109" t="s">
        <v>216</v>
      </c>
      <c r="U63" s="109" t="s">
        <v>131</v>
      </c>
      <c r="V63" s="109" t="s">
        <v>132</v>
      </c>
      <c r="W63" s="109" t="s">
        <v>120</v>
      </c>
      <c r="X63" s="109" t="s">
        <v>216</v>
      </c>
      <c r="Y63" s="109"/>
      <c r="Z63" s="109"/>
      <c r="AA63" s="109" t="s">
        <v>133</v>
      </c>
      <c r="AB63" s="109" t="s">
        <v>134</v>
      </c>
      <c r="AC63" s="109"/>
      <c r="AD63" s="109" t="s">
        <v>133</v>
      </c>
      <c r="AE63" s="109"/>
      <c r="AF63" s="109"/>
      <c r="AG63" s="109"/>
      <c r="AH63" s="109"/>
      <c r="AI63" s="109"/>
      <c r="AJ63" s="109"/>
      <c r="AK63" s="109"/>
      <c r="AL63" s="109"/>
      <c r="AM63" s="109"/>
      <c r="AN63" s="111"/>
    </row>
    <row r="64" spans="1:40" ht="28.8">
      <c r="A64" s="108">
        <v>16</v>
      </c>
      <c r="B64" s="109" t="s">
        <v>173</v>
      </c>
      <c r="C64" s="109" t="s">
        <v>109</v>
      </c>
      <c r="D64" s="109" t="s">
        <v>110</v>
      </c>
      <c r="E64" s="109"/>
      <c r="F64" s="109" t="s">
        <v>217</v>
      </c>
      <c r="G64" s="109" t="b">
        <v>1</v>
      </c>
      <c r="H64" s="109" t="b">
        <v>0</v>
      </c>
      <c r="I64" s="110" t="s">
        <v>147</v>
      </c>
      <c r="J64" s="109" t="s">
        <v>138</v>
      </c>
      <c r="K64" s="109" t="s">
        <v>114</v>
      </c>
      <c r="L64" s="109" t="s">
        <v>143</v>
      </c>
      <c r="M64" s="109" t="s">
        <v>139</v>
      </c>
      <c r="N64" s="109" t="s">
        <v>129</v>
      </c>
      <c r="O64" s="109" t="s">
        <v>16</v>
      </c>
      <c r="P64" s="109" t="s">
        <v>183</v>
      </c>
      <c r="Q64" s="109" t="s">
        <v>183</v>
      </c>
      <c r="R64" s="109" t="s">
        <v>120</v>
      </c>
      <c r="S64" s="109" t="s">
        <v>183</v>
      </c>
      <c r="T64" s="109" t="s">
        <v>120</v>
      </c>
      <c r="U64" s="109" t="s">
        <v>131</v>
      </c>
      <c r="V64" s="109" t="s">
        <v>132</v>
      </c>
      <c r="W64" s="109" t="s">
        <v>120</v>
      </c>
      <c r="X64" s="109" t="s">
        <v>120</v>
      </c>
      <c r="Y64" s="109"/>
      <c r="Z64" s="109"/>
      <c r="AA64" s="109"/>
      <c r="AB64" s="109"/>
      <c r="AC64" s="109"/>
      <c r="AD64" s="109"/>
      <c r="AE64" s="109"/>
      <c r="AF64" s="109"/>
      <c r="AG64" s="109"/>
      <c r="AH64" s="109"/>
      <c r="AI64" s="109"/>
      <c r="AJ64" s="109"/>
      <c r="AK64" s="109"/>
      <c r="AL64" s="109"/>
      <c r="AM64" s="109"/>
      <c r="AN64" s="111"/>
    </row>
    <row r="65" spans="1:40" ht="28.8">
      <c r="A65" s="108">
        <v>17</v>
      </c>
      <c r="B65" s="109" t="s">
        <v>174</v>
      </c>
      <c r="C65" s="109" t="s">
        <v>109</v>
      </c>
      <c r="D65" s="109" t="s">
        <v>110</v>
      </c>
      <c r="E65" s="109"/>
      <c r="F65" s="109" t="s">
        <v>219</v>
      </c>
      <c r="G65" s="109" t="b">
        <v>0</v>
      </c>
      <c r="H65" s="109" t="b">
        <v>1</v>
      </c>
      <c r="I65" s="110" t="s">
        <v>150</v>
      </c>
      <c r="J65" s="109" t="s">
        <v>113</v>
      </c>
      <c r="K65" s="109" t="s">
        <v>127</v>
      </c>
      <c r="L65" s="109" t="s">
        <v>155</v>
      </c>
      <c r="M65" s="109" t="s">
        <v>116</v>
      </c>
      <c r="N65" s="109" t="s">
        <v>117</v>
      </c>
      <c r="O65" s="109" t="s">
        <v>16</v>
      </c>
      <c r="P65" s="109" t="s">
        <v>183</v>
      </c>
      <c r="Q65" s="109" t="s">
        <v>183</v>
      </c>
      <c r="R65" s="109" t="s">
        <v>120</v>
      </c>
      <c r="S65" s="109" t="s">
        <v>144</v>
      </c>
      <c r="T65" s="109" t="s">
        <v>120</v>
      </c>
      <c r="U65" s="109" t="s">
        <v>121</v>
      </c>
      <c r="V65" s="109" t="s">
        <v>122</v>
      </c>
      <c r="W65" s="109" t="s">
        <v>120</v>
      </c>
      <c r="X65" s="109" t="s">
        <v>120</v>
      </c>
      <c r="Y65" s="109"/>
      <c r="Z65" s="109"/>
      <c r="AA65" s="109"/>
      <c r="AB65" s="109"/>
      <c r="AC65" s="109"/>
      <c r="AD65" s="109"/>
      <c r="AE65" s="109"/>
      <c r="AF65" s="109"/>
      <c r="AG65" s="109"/>
      <c r="AH65" s="109"/>
      <c r="AI65" s="109"/>
      <c r="AJ65" s="109"/>
      <c r="AK65" s="109"/>
      <c r="AL65" s="109"/>
      <c r="AM65" s="109"/>
      <c r="AN65" s="111"/>
    </row>
    <row r="66" spans="1:40" ht="28.8">
      <c r="A66" s="108">
        <v>18</v>
      </c>
      <c r="B66" s="109" t="s">
        <v>175</v>
      </c>
      <c r="C66" s="109" t="s">
        <v>109</v>
      </c>
      <c r="D66" s="109" t="s">
        <v>110</v>
      </c>
      <c r="E66" s="109"/>
      <c r="F66" s="109" t="s">
        <v>220</v>
      </c>
      <c r="G66" s="109" t="b">
        <v>1</v>
      </c>
      <c r="H66" s="109" t="b">
        <v>0</v>
      </c>
      <c r="I66" s="110" t="s">
        <v>154</v>
      </c>
      <c r="J66" s="109" t="s">
        <v>126</v>
      </c>
      <c r="K66" s="109" t="s">
        <v>114</v>
      </c>
      <c r="L66" s="109" t="s">
        <v>155</v>
      </c>
      <c r="M66" s="109" t="s">
        <v>206</v>
      </c>
      <c r="N66" s="109" t="s">
        <v>129</v>
      </c>
      <c r="O66" s="109" t="s">
        <v>16</v>
      </c>
      <c r="P66" s="113" t="s">
        <v>100</v>
      </c>
      <c r="Q66" s="113" t="s">
        <v>119</v>
      </c>
      <c r="R66" s="109" t="s">
        <v>120</v>
      </c>
      <c r="S66" s="109" t="s">
        <v>183</v>
      </c>
      <c r="T66" s="109" t="s">
        <v>120</v>
      </c>
      <c r="U66" s="109" t="s">
        <v>131</v>
      </c>
      <c r="V66" s="109" t="s">
        <v>132</v>
      </c>
      <c r="W66" s="109" t="s">
        <v>120</v>
      </c>
      <c r="X66" s="109" t="s">
        <v>120</v>
      </c>
      <c r="Y66" s="109"/>
      <c r="Z66" s="109" t="s">
        <v>133</v>
      </c>
      <c r="AA66" s="109"/>
      <c r="AB66" s="109" t="s">
        <v>162</v>
      </c>
      <c r="AC66" s="109" t="s">
        <v>133</v>
      </c>
      <c r="AD66" s="109"/>
      <c r="AE66" s="109"/>
      <c r="AF66" s="109"/>
      <c r="AG66" s="109"/>
      <c r="AH66" s="109"/>
      <c r="AI66" s="109"/>
      <c r="AJ66" s="109"/>
      <c r="AK66" s="109"/>
      <c r="AL66" s="109"/>
      <c r="AM66" s="109"/>
      <c r="AN66" s="111"/>
    </row>
    <row r="67" spans="1:40" ht="28.8">
      <c r="A67" s="108">
        <v>19</v>
      </c>
      <c r="B67" s="109" t="s">
        <v>176</v>
      </c>
      <c r="C67" s="109" t="s">
        <v>109</v>
      </c>
      <c r="D67" s="109" t="s">
        <v>110</v>
      </c>
      <c r="E67" s="109"/>
      <c r="F67" s="109" t="s">
        <v>203</v>
      </c>
      <c r="G67" s="109" t="b">
        <v>1</v>
      </c>
      <c r="H67" s="109" t="b">
        <v>0</v>
      </c>
      <c r="I67" s="112" t="s">
        <v>158</v>
      </c>
      <c r="J67" s="109" t="s">
        <v>138</v>
      </c>
      <c r="K67" s="109" t="s">
        <v>114</v>
      </c>
      <c r="L67" s="109" t="s">
        <v>155</v>
      </c>
      <c r="M67" s="109" t="s">
        <v>209</v>
      </c>
      <c r="N67" s="109" t="s">
        <v>117</v>
      </c>
      <c r="O67" s="109" t="s">
        <v>16</v>
      </c>
      <c r="P67" s="113" t="s">
        <v>151</v>
      </c>
      <c r="Q67" s="113" t="s">
        <v>151</v>
      </c>
      <c r="R67" s="109" t="s">
        <v>120</v>
      </c>
      <c r="S67" s="109" t="s">
        <v>183</v>
      </c>
      <c r="T67" s="109" t="s">
        <v>216</v>
      </c>
      <c r="U67" s="109" t="s">
        <v>121</v>
      </c>
      <c r="V67" s="109" t="s">
        <v>122</v>
      </c>
      <c r="W67" s="109" t="s">
        <v>120</v>
      </c>
      <c r="X67" s="109" t="s">
        <v>216</v>
      </c>
      <c r="Y67" s="109" t="s">
        <v>133</v>
      </c>
      <c r="Z67" s="109"/>
      <c r="AA67" s="109"/>
      <c r="AB67" s="109" t="s">
        <v>134</v>
      </c>
      <c r="AC67" s="109" t="s">
        <v>133</v>
      </c>
      <c r="AD67" s="109"/>
      <c r="AE67" s="109"/>
      <c r="AF67" s="109"/>
      <c r="AG67" s="109"/>
      <c r="AH67" s="109"/>
      <c r="AI67" s="109"/>
      <c r="AJ67" s="109"/>
      <c r="AK67" s="109"/>
      <c r="AL67" s="109"/>
      <c r="AM67" s="109"/>
      <c r="AN67" s="111"/>
    </row>
    <row r="68" spans="1:40" ht="28.8">
      <c r="A68" s="108">
        <v>20</v>
      </c>
      <c r="B68" s="109" t="s">
        <v>177</v>
      </c>
      <c r="C68" s="109" t="s">
        <v>109</v>
      </c>
      <c r="D68" s="109" t="s">
        <v>110</v>
      </c>
      <c r="E68" s="109"/>
      <c r="F68" s="109" t="s">
        <v>205</v>
      </c>
      <c r="G68" s="109" t="b">
        <v>0</v>
      </c>
      <c r="H68" s="109" t="b">
        <v>1</v>
      </c>
      <c r="I68" s="112" t="s">
        <v>161</v>
      </c>
      <c r="J68" s="109" t="s">
        <v>126</v>
      </c>
      <c r="K68" s="109" t="s">
        <v>127</v>
      </c>
      <c r="L68" s="109" t="s">
        <v>155</v>
      </c>
      <c r="M68" s="109" t="s">
        <v>211</v>
      </c>
      <c r="N68" s="109" t="s">
        <v>129</v>
      </c>
      <c r="O68" s="109" t="s">
        <v>16</v>
      </c>
      <c r="P68" s="109" t="s">
        <v>183</v>
      </c>
      <c r="Q68" s="109" t="s">
        <v>183</v>
      </c>
      <c r="R68" s="109" t="s">
        <v>120</v>
      </c>
      <c r="S68" s="109" t="s">
        <v>120</v>
      </c>
      <c r="T68" s="109" t="s">
        <v>120</v>
      </c>
      <c r="U68" s="109" t="s">
        <v>131</v>
      </c>
      <c r="V68" s="109" t="s">
        <v>132</v>
      </c>
      <c r="W68" s="109" t="s">
        <v>120</v>
      </c>
      <c r="X68" s="109" t="s">
        <v>120</v>
      </c>
      <c r="Y68" s="109"/>
      <c r="Z68" s="109"/>
      <c r="AA68" s="109"/>
      <c r="AB68" s="109"/>
      <c r="AC68" s="109"/>
      <c r="AD68" s="109"/>
      <c r="AE68" s="109"/>
      <c r="AF68" s="109"/>
      <c r="AG68" s="109"/>
      <c r="AH68" s="109"/>
      <c r="AI68" s="109"/>
      <c r="AJ68" s="109"/>
      <c r="AK68" s="109"/>
      <c r="AL68" s="109"/>
      <c r="AM68" s="109"/>
      <c r="AN68" s="111"/>
    </row>
    <row r="69" spans="1:40" ht="28.8">
      <c r="A69" s="108">
        <v>21</v>
      </c>
      <c r="B69" s="109" t="s">
        <v>179</v>
      </c>
      <c r="C69" s="109" t="s">
        <v>109</v>
      </c>
      <c r="D69" s="109" t="s">
        <v>110</v>
      </c>
      <c r="E69" s="109"/>
      <c r="F69" s="109" t="s">
        <v>208</v>
      </c>
      <c r="G69" s="109" t="b">
        <v>1</v>
      </c>
      <c r="H69" s="109" t="b">
        <v>0</v>
      </c>
      <c r="I69" s="112" t="s">
        <v>164</v>
      </c>
      <c r="J69" s="109" t="s">
        <v>113</v>
      </c>
      <c r="K69" s="109" t="s">
        <v>114</v>
      </c>
      <c r="L69" s="109" t="s">
        <v>155</v>
      </c>
      <c r="M69" s="109" t="s">
        <v>213</v>
      </c>
      <c r="N69" s="109" t="s">
        <v>117</v>
      </c>
      <c r="O69" s="109" t="s">
        <v>207</v>
      </c>
      <c r="P69" s="109" t="s">
        <v>183</v>
      </c>
      <c r="Q69" s="109" t="s">
        <v>183</v>
      </c>
      <c r="R69" s="109" t="s">
        <v>120</v>
      </c>
      <c r="S69" s="109" t="s">
        <v>183</v>
      </c>
      <c r="T69" s="109" t="s">
        <v>120</v>
      </c>
      <c r="U69" s="109" t="s">
        <v>131</v>
      </c>
      <c r="V69" s="109" t="s">
        <v>132</v>
      </c>
      <c r="W69" s="109" t="s">
        <v>120</v>
      </c>
      <c r="X69" s="109" t="s">
        <v>120</v>
      </c>
      <c r="Y69" s="109"/>
      <c r="Z69" s="109"/>
      <c r="AA69" s="109"/>
      <c r="AB69" s="109"/>
      <c r="AC69" s="109"/>
      <c r="AD69" s="109"/>
      <c r="AE69" s="109"/>
      <c r="AF69" s="109"/>
      <c r="AG69" s="109"/>
      <c r="AH69" s="109"/>
      <c r="AI69" s="109"/>
      <c r="AJ69" s="109"/>
      <c r="AK69" s="109"/>
      <c r="AL69" s="109"/>
      <c r="AM69" s="109"/>
      <c r="AN69" s="111"/>
    </row>
    <row r="70" spans="1:40" ht="28.8">
      <c r="A70" s="108">
        <v>22</v>
      </c>
      <c r="B70" s="109" t="s">
        <v>180</v>
      </c>
      <c r="C70" s="109" t="s">
        <v>109</v>
      </c>
      <c r="D70" s="109" t="s">
        <v>110</v>
      </c>
      <c r="E70" s="109"/>
      <c r="F70" s="109" t="s">
        <v>210</v>
      </c>
      <c r="G70" s="109" t="b">
        <v>0</v>
      </c>
      <c r="H70" s="109" t="b">
        <v>1</v>
      </c>
      <c r="I70" s="112" t="s">
        <v>167</v>
      </c>
      <c r="J70" s="109" t="s">
        <v>126</v>
      </c>
      <c r="K70" s="109" t="s">
        <v>127</v>
      </c>
      <c r="L70" s="109" t="s">
        <v>155</v>
      </c>
      <c r="M70" s="109" t="s">
        <v>215</v>
      </c>
      <c r="N70" s="109" t="s">
        <v>129</v>
      </c>
      <c r="O70" s="109" t="s">
        <v>207</v>
      </c>
      <c r="P70" s="109" t="s">
        <v>183</v>
      </c>
      <c r="Q70" s="109" t="s">
        <v>183</v>
      </c>
      <c r="R70" s="109" t="s">
        <v>120</v>
      </c>
      <c r="S70" s="109" t="s">
        <v>144</v>
      </c>
      <c r="T70" s="109" t="s">
        <v>216</v>
      </c>
      <c r="U70" s="109" t="s">
        <v>131</v>
      </c>
      <c r="V70" s="109" t="s">
        <v>132</v>
      </c>
      <c r="W70" s="109" t="s">
        <v>120</v>
      </c>
      <c r="X70" s="109" t="s">
        <v>216</v>
      </c>
      <c r="Y70" s="109"/>
      <c r="Z70" s="109"/>
      <c r="AA70" s="109"/>
      <c r="AB70" s="109"/>
      <c r="AC70" s="109"/>
      <c r="AD70" s="109"/>
      <c r="AE70" s="109"/>
      <c r="AF70" s="109"/>
      <c r="AG70" s="109"/>
      <c r="AH70" s="109"/>
      <c r="AI70" s="109"/>
      <c r="AJ70" s="109"/>
      <c r="AK70" s="109"/>
      <c r="AL70" s="109"/>
      <c r="AM70" s="109"/>
      <c r="AN70" s="111"/>
    </row>
    <row r="71" spans="1:40" ht="28.8">
      <c r="A71" s="108">
        <v>23</v>
      </c>
      <c r="B71" s="109" t="s">
        <v>182</v>
      </c>
      <c r="C71" s="109" t="s">
        <v>109</v>
      </c>
      <c r="D71" s="109" t="s">
        <v>110</v>
      </c>
      <c r="E71" s="109"/>
      <c r="F71" s="109" t="s">
        <v>212</v>
      </c>
      <c r="G71" s="109" t="b">
        <v>1</v>
      </c>
      <c r="H71" s="109" t="b">
        <v>0</v>
      </c>
      <c r="I71" s="110" t="s">
        <v>204</v>
      </c>
      <c r="J71" s="109" t="s">
        <v>113</v>
      </c>
      <c r="K71" s="109" t="s">
        <v>114</v>
      </c>
      <c r="L71" s="109" t="s">
        <v>155</v>
      </c>
      <c r="M71" s="109" t="s">
        <v>218</v>
      </c>
      <c r="N71" s="109" t="s">
        <v>117</v>
      </c>
      <c r="O71" s="109" t="s">
        <v>16</v>
      </c>
      <c r="P71" s="109" t="s">
        <v>183</v>
      </c>
      <c r="Q71" s="109" t="s">
        <v>183</v>
      </c>
      <c r="R71" s="109" t="s">
        <v>120</v>
      </c>
      <c r="S71" s="109" t="s">
        <v>183</v>
      </c>
      <c r="T71" s="109" t="s">
        <v>120</v>
      </c>
      <c r="U71" s="109" t="s">
        <v>121</v>
      </c>
      <c r="V71" s="109" t="s">
        <v>122</v>
      </c>
      <c r="W71" s="109" t="s">
        <v>120</v>
      </c>
      <c r="X71" s="109" t="s">
        <v>120</v>
      </c>
      <c r="Y71" s="109"/>
      <c r="Z71" s="109"/>
      <c r="AA71" s="109"/>
      <c r="AB71" s="109"/>
      <c r="AC71" s="109"/>
      <c r="AD71" s="109"/>
      <c r="AE71" s="109"/>
      <c r="AF71" s="109"/>
      <c r="AG71" s="109"/>
      <c r="AH71" s="109"/>
      <c r="AI71" s="109"/>
      <c r="AJ71" s="109"/>
      <c r="AK71" s="109"/>
      <c r="AL71" s="109"/>
      <c r="AM71" s="109"/>
      <c r="AN71" s="111"/>
    </row>
    <row r="72" spans="1:40" ht="41.4">
      <c r="A72" s="108">
        <v>24</v>
      </c>
      <c r="B72" s="109" t="s">
        <v>184</v>
      </c>
      <c r="C72" s="109" t="s">
        <v>109</v>
      </c>
      <c r="D72" s="109" t="s">
        <v>110</v>
      </c>
      <c r="E72" s="109"/>
      <c r="F72" s="109" t="s">
        <v>214</v>
      </c>
      <c r="G72" s="109" t="b">
        <v>0</v>
      </c>
      <c r="H72" s="109" t="b">
        <v>1</v>
      </c>
      <c r="I72" s="110" t="s">
        <v>125</v>
      </c>
      <c r="J72" s="109" t="s">
        <v>126</v>
      </c>
      <c r="K72" s="109" t="s">
        <v>127</v>
      </c>
      <c r="L72" s="109" t="s">
        <v>155</v>
      </c>
      <c r="M72" s="109" t="s">
        <v>139</v>
      </c>
      <c r="N72" s="109" t="s">
        <v>129</v>
      </c>
      <c r="O72" s="109" t="s">
        <v>207</v>
      </c>
      <c r="P72" s="109" t="s">
        <v>183</v>
      </c>
      <c r="Q72" s="109" t="s">
        <v>183</v>
      </c>
      <c r="R72" s="109" t="s">
        <v>120</v>
      </c>
      <c r="S72" s="109" t="s">
        <v>144</v>
      </c>
      <c r="T72" s="109" t="s">
        <v>216</v>
      </c>
      <c r="U72" s="109" t="s">
        <v>131</v>
      </c>
      <c r="V72" s="109" t="s">
        <v>132</v>
      </c>
      <c r="W72" s="109" t="s">
        <v>120</v>
      </c>
      <c r="X72" s="109" t="s">
        <v>216</v>
      </c>
      <c r="Y72" s="109"/>
      <c r="Z72" s="109"/>
      <c r="AA72" s="109"/>
      <c r="AB72" s="109"/>
      <c r="AC72" s="109"/>
      <c r="AD72" s="109"/>
      <c r="AE72" s="109"/>
      <c r="AF72" s="109"/>
      <c r="AG72" s="109"/>
      <c r="AH72" s="109"/>
      <c r="AI72" s="109"/>
      <c r="AJ72" s="109"/>
      <c r="AK72" s="109"/>
      <c r="AL72" s="109"/>
      <c r="AM72" s="109"/>
      <c r="AN72" s="111"/>
    </row>
    <row r="73" spans="1:40">
      <c r="A73" s="108">
        <v>25</v>
      </c>
      <c r="B73" s="109" t="s">
        <v>185</v>
      </c>
      <c r="C73" s="109" t="s">
        <v>109</v>
      </c>
      <c r="D73" s="109" t="s">
        <v>169</v>
      </c>
      <c r="E73" s="109"/>
      <c r="F73" s="109" t="s">
        <v>203</v>
      </c>
      <c r="G73" s="109"/>
      <c r="H73" s="109"/>
      <c r="I73" s="109"/>
      <c r="J73" s="109"/>
      <c r="K73" s="109" t="s">
        <v>114</v>
      </c>
      <c r="L73" s="109" t="s">
        <v>115</v>
      </c>
      <c r="M73" s="109" t="s">
        <v>116</v>
      </c>
      <c r="N73" s="109" t="s">
        <v>129</v>
      </c>
      <c r="O73" s="109" t="s">
        <v>16</v>
      </c>
      <c r="P73" s="109" t="s">
        <v>183</v>
      </c>
      <c r="Q73" s="109" t="s">
        <v>183</v>
      </c>
      <c r="R73" s="109" t="s">
        <v>183</v>
      </c>
      <c r="S73" s="109" t="s">
        <v>183</v>
      </c>
      <c r="T73" s="109" t="s">
        <v>183</v>
      </c>
      <c r="U73" s="109" t="s">
        <v>183</v>
      </c>
      <c r="V73" s="109" t="s">
        <v>183</v>
      </c>
      <c r="W73" s="109" t="s">
        <v>183</v>
      </c>
      <c r="X73" s="109" t="s">
        <v>183</v>
      </c>
      <c r="Y73" s="109"/>
      <c r="Z73" s="109"/>
      <c r="AA73" s="109"/>
      <c r="AB73" s="109"/>
      <c r="AC73" s="109"/>
      <c r="AD73" s="109"/>
      <c r="AE73" s="109"/>
      <c r="AF73" s="109"/>
      <c r="AG73" s="109"/>
      <c r="AH73" s="109"/>
      <c r="AI73" s="109"/>
      <c r="AJ73" s="109"/>
      <c r="AK73" s="109"/>
      <c r="AL73" s="109"/>
      <c r="AM73" s="109"/>
      <c r="AN73" s="111"/>
    </row>
    <row r="74" spans="1:40">
      <c r="A74" s="108">
        <v>26</v>
      </c>
      <c r="B74" s="109" t="s">
        <v>186</v>
      </c>
      <c r="C74" s="109" t="s">
        <v>109</v>
      </c>
      <c r="D74" s="109" t="s">
        <v>169</v>
      </c>
      <c r="E74" s="109"/>
      <c r="F74" s="109" t="s">
        <v>205</v>
      </c>
      <c r="G74" s="109"/>
      <c r="H74" s="109"/>
      <c r="I74" s="109"/>
      <c r="J74" s="109"/>
      <c r="K74" s="109" t="s">
        <v>127</v>
      </c>
      <c r="L74" s="109" t="s">
        <v>115</v>
      </c>
      <c r="M74" s="109" t="s">
        <v>206</v>
      </c>
      <c r="N74" s="109" t="s">
        <v>117</v>
      </c>
      <c r="O74" s="109" t="s">
        <v>16</v>
      </c>
      <c r="P74" s="109" t="s">
        <v>183</v>
      </c>
      <c r="Q74" s="109" t="s">
        <v>183</v>
      </c>
      <c r="R74" s="109" t="s">
        <v>183</v>
      </c>
      <c r="S74" s="109" t="s">
        <v>183</v>
      </c>
      <c r="T74" s="109" t="s">
        <v>183</v>
      </c>
      <c r="U74" s="109" t="s">
        <v>183</v>
      </c>
      <c r="V74" s="109" t="s">
        <v>183</v>
      </c>
      <c r="W74" s="109" t="s">
        <v>183</v>
      </c>
      <c r="X74" s="109" t="s">
        <v>183</v>
      </c>
      <c r="Y74" s="109"/>
      <c r="Z74" s="109"/>
      <c r="AA74" s="109"/>
      <c r="AB74" s="109"/>
      <c r="AC74" s="109"/>
      <c r="AD74" s="109"/>
      <c r="AE74" s="109"/>
      <c r="AF74" s="109"/>
      <c r="AG74" s="109"/>
      <c r="AH74" s="109"/>
      <c r="AI74" s="109"/>
      <c r="AJ74" s="109"/>
      <c r="AK74" s="109"/>
      <c r="AL74" s="109"/>
      <c r="AM74" s="109"/>
      <c r="AN74" s="111"/>
    </row>
    <row r="75" spans="1:40">
      <c r="A75" s="108">
        <v>27</v>
      </c>
      <c r="B75" s="109" t="s">
        <v>187</v>
      </c>
      <c r="C75" s="109" t="s">
        <v>109</v>
      </c>
      <c r="D75" s="109" t="s">
        <v>169</v>
      </c>
      <c r="E75" s="109"/>
      <c r="F75" s="109" t="s">
        <v>208</v>
      </c>
      <c r="G75" s="109"/>
      <c r="H75" s="109"/>
      <c r="I75" s="109"/>
      <c r="J75" s="109"/>
      <c r="K75" s="109" t="s">
        <v>114</v>
      </c>
      <c r="L75" s="109" t="s">
        <v>115</v>
      </c>
      <c r="M75" s="109" t="s">
        <v>209</v>
      </c>
      <c r="N75" s="109" t="s">
        <v>129</v>
      </c>
      <c r="O75" s="109" t="s">
        <v>207</v>
      </c>
      <c r="P75" s="109" t="s">
        <v>183</v>
      </c>
      <c r="Q75" s="109" t="s">
        <v>183</v>
      </c>
      <c r="R75" s="109" t="s">
        <v>183</v>
      </c>
      <c r="S75" s="109" t="s">
        <v>183</v>
      </c>
      <c r="T75" s="109" t="s">
        <v>183</v>
      </c>
      <c r="U75" s="109" t="s">
        <v>183</v>
      </c>
      <c r="V75" s="109" t="s">
        <v>183</v>
      </c>
      <c r="W75" s="109" t="s">
        <v>183</v>
      </c>
      <c r="X75" s="109" t="s">
        <v>183</v>
      </c>
      <c r="Y75" s="109"/>
      <c r="Z75" s="109"/>
      <c r="AA75" s="109"/>
      <c r="AB75" s="109"/>
      <c r="AC75" s="109"/>
      <c r="AD75" s="109"/>
      <c r="AE75" s="109"/>
      <c r="AF75" s="109"/>
      <c r="AG75" s="109"/>
      <c r="AH75" s="109"/>
      <c r="AI75" s="109"/>
      <c r="AJ75" s="109"/>
      <c r="AK75" s="109"/>
      <c r="AL75" s="109"/>
      <c r="AM75" s="109"/>
      <c r="AN75" s="111"/>
    </row>
    <row r="76" spans="1:40">
      <c r="A76" s="108">
        <v>28</v>
      </c>
      <c r="B76" s="109" t="s">
        <v>188</v>
      </c>
      <c r="C76" s="109" t="s">
        <v>109</v>
      </c>
      <c r="D76" s="109" t="s">
        <v>169</v>
      </c>
      <c r="E76" s="109"/>
      <c r="F76" s="109" t="s">
        <v>210</v>
      </c>
      <c r="G76" s="109"/>
      <c r="H76" s="109"/>
      <c r="I76" s="109"/>
      <c r="J76" s="109"/>
      <c r="K76" s="109" t="s">
        <v>127</v>
      </c>
      <c r="L76" s="109" t="s">
        <v>115</v>
      </c>
      <c r="M76" s="109" t="s">
        <v>211</v>
      </c>
      <c r="N76" s="109" t="s">
        <v>117</v>
      </c>
      <c r="O76" s="109" t="s">
        <v>207</v>
      </c>
      <c r="P76" s="109" t="s">
        <v>183</v>
      </c>
      <c r="Q76" s="109" t="s">
        <v>183</v>
      </c>
      <c r="R76" s="109" t="s">
        <v>183</v>
      </c>
      <c r="S76" s="109" t="s">
        <v>183</v>
      </c>
      <c r="T76" s="109" t="s">
        <v>183</v>
      </c>
      <c r="U76" s="109" t="s">
        <v>183</v>
      </c>
      <c r="V76" s="109" t="s">
        <v>183</v>
      </c>
      <c r="W76" s="109" t="s">
        <v>183</v>
      </c>
      <c r="X76" s="109" t="s">
        <v>183</v>
      </c>
      <c r="Y76" s="109"/>
      <c r="Z76" s="109"/>
      <c r="AA76" s="109"/>
      <c r="AB76" s="109"/>
      <c r="AC76" s="109"/>
      <c r="AD76" s="109"/>
      <c r="AE76" s="109"/>
      <c r="AF76" s="109"/>
      <c r="AG76" s="109"/>
      <c r="AH76" s="109"/>
      <c r="AI76" s="109"/>
      <c r="AJ76" s="109"/>
      <c r="AK76" s="109"/>
      <c r="AL76" s="109"/>
      <c r="AM76" s="109"/>
      <c r="AN76" s="111"/>
    </row>
    <row r="77" spans="1:40">
      <c r="A77" s="108">
        <v>29</v>
      </c>
      <c r="B77" s="109" t="s">
        <v>189</v>
      </c>
      <c r="C77" s="109" t="s">
        <v>109</v>
      </c>
      <c r="D77" s="109" t="s">
        <v>169</v>
      </c>
      <c r="E77" s="109"/>
      <c r="F77" s="109" t="s">
        <v>212</v>
      </c>
      <c r="G77" s="109"/>
      <c r="H77" s="109"/>
      <c r="I77" s="109"/>
      <c r="J77" s="109"/>
      <c r="K77" s="109" t="s">
        <v>114</v>
      </c>
      <c r="L77" s="109" t="s">
        <v>115</v>
      </c>
      <c r="M77" s="109" t="s">
        <v>213</v>
      </c>
      <c r="N77" s="109" t="s">
        <v>129</v>
      </c>
      <c r="O77" s="109" t="s">
        <v>16</v>
      </c>
      <c r="P77" s="109" t="s">
        <v>183</v>
      </c>
      <c r="Q77" s="109" t="s">
        <v>183</v>
      </c>
      <c r="R77" s="109" t="s">
        <v>183</v>
      </c>
      <c r="S77" s="109" t="s">
        <v>183</v>
      </c>
      <c r="T77" s="109" t="s">
        <v>183</v>
      </c>
      <c r="U77" s="109" t="s">
        <v>183</v>
      </c>
      <c r="V77" s="109" t="s">
        <v>183</v>
      </c>
      <c r="W77" s="109" t="s">
        <v>183</v>
      </c>
      <c r="X77" s="109" t="s">
        <v>183</v>
      </c>
      <c r="Y77" s="109" t="s">
        <v>133</v>
      </c>
      <c r="Z77" s="109"/>
      <c r="AA77" s="109"/>
      <c r="AB77" s="109"/>
      <c r="AC77" s="109"/>
      <c r="AD77" s="109"/>
      <c r="AE77" s="109"/>
      <c r="AF77" s="109"/>
      <c r="AG77" s="109"/>
      <c r="AH77" s="109"/>
      <c r="AI77" s="109"/>
      <c r="AJ77" s="109"/>
      <c r="AK77" s="109"/>
      <c r="AL77" s="109"/>
      <c r="AM77" s="109"/>
      <c r="AN77" s="111"/>
    </row>
    <row r="78" spans="1:40">
      <c r="A78" s="108">
        <v>30</v>
      </c>
      <c r="B78" s="109" t="s">
        <v>190</v>
      </c>
      <c r="C78" s="109" t="s">
        <v>109</v>
      </c>
      <c r="D78" s="109" t="s">
        <v>169</v>
      </c>
      <c r="E78" s="109"/>
      <c r="F78" s="109" t="s">
        <v>214</v>
      </c>
      <c r="G78" s="109"/>
      <c r="H78" s="109"/>
      <c r="I78" s="109"/>
      <c r="J78" s="109"/>
      <c r="K78" s="109" t="s">
        <v>127</v>
      </c>
      <c r="L78" s="109" t="s">
        <v>115</v>
      </c>
      <c r="M78" s="109" t="s">
        <v>215</v>
      </c>
      <c r="N78" s="109" t="s">
        <v>117</v>
      </c>
      <c r="O78" s="109" t="s">
        <v>16</v>
      </c>
      <c r="P78" s="109" t="s">
        <v>183</v>
      </c>
      <c r="Q78" s="109" t="s">
        <v>183</v>
      </c>
      <c r="R78" s="109" t="s">
        <v>183</v>
      </c>
      <c r="S78" s="109" t="s">
        <v>183</v>
      </c>
      <c r="T78" s="109" t="s">
        <v>183</v>
      </c>
      <c r="U78" s="109" t="s">
        <v>183</v>
      </c>
      <c r="V78" s="109" t="s">
        <v>183</v>
      </c>
      <c r="W78" s="109" t="s">
        <v>183</v>
      </c>
      <c r="X78" s="109" t="s">
        <v>183</v>
      </c>
      <c r="Y78" s="109"/>
      <c r="Z78" s="109"/>
      <c r="AA78" s="109"/>
      <c r="AB78" s="109"/>
      <c r="AC78" s="109"/>
      <c r="AD78" s="109"/>
      <c r="AE78" s="109"/>
      <c r="AF78" s="109"/>
      <c r="AG78" s="109"/>
      <c r="AH78" s="109"/>
      <c r="AI78" s="109"/>
      <c r="AJ78" s="109"/>
      <c r="AK78" s="109"/>
      <c r="AL78" s="109"/>
      <c r="AM78" s="109"/>
      <c r="AN78" s="111"/>
    </row>
    <row r="79" spans="1:40">
      <c r="A79" s="108">
        <v>31</v>
      </c>
      <c r="B79" s="109" t="s">
        <v>191</v>
      </c>
      <c r="C79" s="109" t="s">
        <v>109</v>
      </c>
      <c r="D79" s="109" t="s">
        <v>169</v>
      </c>
      <c r="E79" s="109"/>
      <c r="F79" s="109" t="s">
        <v>217</v>
      </c>
      <c r="G79" s="109"/>
      <c r="H79" s="109"/>
      <c r="I79" s="109"/>
      <c r="J79" s="109"/>
      <c r="K79" s="109" t="s">
        <v>114</v>
      </c>
      <c r="L79" s="109" t="s">
        <v>115</v>
      </c>
      <c r="M79" s="109" t="s">
        <v>218</v>
      </c>
      <c r="N79" s="109" t="s">
        <v>129</v>
      </c>
      <c r="O79" s="109" t="s">
        <v>16</v>
      </c>
      <c r="P79" s="109" t="s">
        <v>183</v>
      </c>
      <c r="Q79" s="109" t="s">
        <v>183</v>
      </c>
      <c r="R79" s="109" t="s">
        <v>183</v>
      </c>
      <c r="S79" s="109" t="s">
        <v>183</v>
      </c>
      <c r="T79" s="109" t="s">
        <v>183</v>
      </c>
      <c r="U79" s="109" t="s">
        <v>183</v>
      </c>
      <c r="V79" s="109" t="s">
        <v>183</v>
      </c>
      <c r="W79" s="109" t="s">
        <v>183</v>
      </c>
      <c r="X79" s="109" t="s">
        <v>183</v>
      </c>
      <c r="Y79" s="109"/>
      <c r="Z79" s="109"/>
      <c r="AA79" s="109"/>
      <c r="AB79" s="109"/>
      <c r="AC79" s="109"/>
      <c r="AD79" s="109"/>
      <c r="AE79" s="109"/>
      <c r="AF79" s="109"/>
      <c r="AG79" s="109"/>
      <c r="AH79" s="109"/>
      <c r="AI79" s="109"/>
      <c r="AJ79" s="109"/>
      <c r="AK79" s="109"/>
      <c r="AL79" s="109"/>
      <c r="AM79" s="109"/>
      <c r="AN79" s="111"/>
    </row>
    <row r="80" spans="1:40">
      <c r="A80" s="108">
        <v>32</v>
      </c>
      <c r="B80" s="109" t="s">
        <v>192</v>
      </c>
      <c r="C80" s="109" t="s">
        <v>109</v>
      </c>
      <c r="D80" s="109" t="s">
        <v>169</v>
      </c>
      <c r="E80" s="109"/>
      <c r="F80" s="109" t="s">
        <v>219</v>
      </c>
      <c r="G80" s="109"/>
      <c r="H80" s="109"/>
      <c r="I80" s="109"/>
      <c r="J80" s="109"/>
      <c r="K80" s="109" t="s">
        <v>127</v>
      </c>
      <c r="L80" s="109" t="s">
        <v>115</v>
      </c>
      <c r="M80" s="109" t="s">
        <v>139</v>
      </c>
      <c r="N80" s="109" t="s">
        <v>117</v>
      </c>
      <c r="O80" s="109" t="s">
        <v>16</v>
      </c>
      <c r="P80" s="109" t="s">
        <v>183</v>
      </c>
      <c r="Q80" s="109" t="s">
        <v>183</v>
      </c>
      <c r="R80" s="109" t="s">
        <v>183</v>
      </c>
      <c r="S80" s="109" t="s">
        <v>183</v>
      </c>
      <c r="T80" s="109" t="s">
        <v>183</v>
      </c>
      <c r="U80" s="109" t="s">
        <v>183</v>
      </c>
      <c r="V80" s="109" t="s">
        <v>183</v>
      </c>
      <c r="W80" s="109" t="s">
        <v>183</v>
      </c>
      <c r="X80" s="109" t="s">
        <v>183</v>
      </c>
      <c r="Y80" s="109"/>
      <c r="Z80" s="109"/>
      <c r="AA80" s="109"/>
      <c r="AB80" s="109"/>
      <c r="AC80" s="109"/>
      <c r="AD80" s="109"/>
      <c r="AE80" s="109"/>
      <c r="AF80" s="109"/>
      <c r="AG80" s="109"/>
      <c r="AH80" s="109"/>
      <c r="AI80" s="109"/>
      <c r="AJ80" s="109"/>
      <c r="AK80" s="109"/>
      <c r="AL80" s="109"/>
      <c r="AM80" s="109"/>
      <c r="AN80" s="111"/>
    </row>
    <row r="81" spans="1:40" ht="28.8">
      <c r="A81" s="108">
        <v>33</v>
      </c>
      <c r="B81" s="109" t="s">
        <v>193</v>
      </c>
      <c r="C81" s="109" t="s">
        <v>109</v>
      </c>
      <c r="D81" s="109" t="s">
        <v>169</v>
      </c>
      <c r="E81" s="109"/>
      <c r="F81" s="109" t="s">
        <v>220</v>
      </c>
      <c r="G81" s="109"/>
      <c r="H81" s="109"/>
      <c r="I81" s="109"/>
      <c r="J81" s="109"/>
      <c r="K81" s="109" t="s">
        <v>114</v>
      </c>
      <c r="L81" s="109" t="s">
        <v>143</v>
      </c>
      <c r="M81" s="109" t="s">
        <v>116</v>
      </c>
      <c r="N81" s="109" t="s">
        <v>129</v>
      </c>
      <c r="O81" s="109" t="s">
        <v>207</v>
      </c>
      <c r="P81" s="109" t="s">
        <v>183</v>
      </c>
      <c r="Q81" s="109" t="s">
        <v>183</v>
      </c>
      <c r="R81" s="109" t="s">
        <v>183</v>
      </c>
      <c r="S81" s="109" t="s">
        <v>183</v>
      </c>
      <c r="T81" s="109" t="s">
        <v>183</v>
      </c>
      <c r="U81" s="109" t="s">
        <v>183</v>
      </c>
      <c r="V81" s="109" t="s">
        <v>183</v>
      </c>
      <c r="W81" s="109" t="s">
        <v>183</v>
      </c>
      <c r="X81" s="109" t="s">
        <v>183</v>
      </c>
      <c r="Y81" s="109"/>
      <c r="Z81" s="109"/>
      <c r="AA81" s="109"/>
      <c r="AB81" s="109"/>
      <c r="AC81" s="109"/>
      <c r="AD81" s="109"/>
      <c r="AE81" s="109"/>
      <c r="AF81" s="109"/>
      <c r="AG81" s="109"/>
      <c r="AH81" s="109"/>
      <c r="AI81" s="109"/>
      <c r="AJ81" s="109"/>
      <c r="AK81" s="109"/>
      <c r="AL81" s="109"/>
      <c r="AM81" s="109"/>
      <c r="AN81" s="111"/>
    </row>
    <row r="82" spans="1:40" ht="28.8">
      <c r="A82" s="108">
        <v>34</v>
      </c>
      <c r="B82" s="109" t="s">
        <v>194</v>
      </c>
      <c r="C82" s="109" t="s">
        <v>109</v>
      </c>
      <c r="D82" s="109" t="s">
        <v>169</v>
      </c>
      <c r="E82" s="109"/>
      <c r="F82" s="109" t="s">
        <v>203</v>
      </c>
      <c r="G82" s="109"/>
      <c r="H82" s="109"/>
      <c r="I82" s="109"/>
      <c r="J82" s="109"/>
      <c r="K82" s="109" t="s">
        <v>127</v>
      </c>
      <c r="L82" s="109" t="s">
        <v>143</v>
      </c>
      <c r="M82" s="109" t="s">
        <v>206</v>
      </c>
      <c r="N82" s="109" t="s">
        <v>117</v>
      </c>
      <c r="O82" s="109" t="s">
        <v>16</v>
      </c>
      <c r="P82" s="109" t="s">
        <v>183</v>
      </c>
      <c r="Q82" s="109" t="s">
        <v>183</v>
      </c>
      <c r="R82" s="109" t="s">
        <v>183</v>
      </c>
      <c r="S82" s="109" t="s">
        <v>183</v>
      </c>
      <c r="T82" s="109" t="s">
        <v>183</v>
      </c>
      <c r="U82" s="109" t="s">
        <v>183</v>
      </c>
      <c r="V82" s="109" t="s">
        <v>183</v>
      </c>
      <c r="W82" s="109" t="s">
        <v>183</v>
      </c>
      <c r="X82" s="109" t="s">
        <v>183</v>
      </c>
      <c r="Y82" s="109"/>
      <c r="Z82" s="109"/>
      <c r="AA82" s="109"/>
      <c r="AB82" s="109"/>
      <c r="AC82" s="109"/>
      <c r="AD82" s="109"/>
      <c r="AE82" s="109"/>
      <c r="AF82" s="109"/>
      <c r="AG82" s="109"/>
      <c r="AH82" s="109"/>
      <c r="AI82" s="109"/>
      <c r="AJ82" s="109"/>
      <c r="AK82" s="109"/>
      <c r="AL82" s="109"/>
      <c r="AM82" s="109"/>
      <c r="AN82" s="111"/>
    </row>
    <row r="83" spans="1:40" ht="28.8">
      <c r="A83" s="108">
        <v>35</v>
      </c>
      <c r="B83" s="109" t="s">
        <v>195</v>
      </c>
      <c r="C83" s="109" t="s">
        <v>109</v>
      </c>
      <c r="D83" s="109" t="s">
        <v>169</v>
      </c>
      <c r="E83" s="109"/>
      <c r="F83" s="109" t="s">
        <v>205</v>
      </c>
      <c r="G83" s="109"/>
      <c r="H83" s="109"/>
      <c r="I83" s="109"/>
      <c r="J83" s="109"/>
      <c r="K83" s="109" t="s">
        <v>114</v>
      </c>
      <c r="L83" s="109" t="s">
        <v>143</v>
      </c>
      <c r="M83" s="109" t="s">
        <v>209</v>
      </c>
      <c r="N83" s="109" t="s">
        <v>129</v>
      </c>
      <c r="O83" s="109" t="s">
        <v>207</v>
      </c>
      <c r="P83" s="109" t="s">
        <v>183</v>
      </c>
      <c r="Q83" s="109" t="s">
        <v>183</v>
      </c>
      <c r="R83" s="109" t="s">
        <v>183</v>
      </c>
      <c r="S83" s="109" t="s">
        <v>183</v>
      </c>
      <c r="T83" s="109" t="s">
        <v>183</v>
      </c>
      <c r="U83" s="109" t="s">
        <v>183</v>
      </c>
      <c r="V83" s="109" t="s">
        <v>183</v>
      </c>
      <c r="W83" s="109" t="s">
        <v>183</v>
      </c>
      <c r="X83" s="109" t="s">
        <v>183</v>
      </c>
      <c r="Y83" s="109"/>
      <c r="Z83" s="109"/>
      <c r="AA83" s="109"/>
      <c r="AB83" s="109"/>
      <c r="AC83" s="109"/>
      <c r="AD83" s="109"/>
      <c r="AE83" s="109"/>
      <c r="AF83" s="109"/>
      <c r="AG83" s="109"/>
      <c r="AH83" s="109"/>
      <c r="AI83" s="109"/>
      <c r="AJ83" s="109"/>
      <c r="AK83" s="109"/>
      <c r="AL83" s="109"/>
      <c r="AM83" s="109"/>
      <c r="AN83" s="111"/>
    </row>
    <row r="84" spans="1:40" ht="28.8">
      <c r="A84" s="108">
        <v>36</v>
      </c>
      <c r="B84" s="109" t="s">
        <v>196</v>
      </c>
      <c r="C84" s="109" t="s">
        <v>109</v>
      </c>
      <c r="D84" s="109" t="s">
        <v>169</v>
      </c>
      <c r="E84" s="109"/>
      <c r="F84" s="109" t="s">
        <v>208</v>
      </c>
      <c r="G84" s="109"/>
      <c r="H84" s="109"/>
      <c r="I84" s="109"/>
      <c r="J84" s="109"/>
      <c r="K84" s="109" t="s">
        <v>127</v>
      </c>
      <c r="L84" s="109" t="s">
        <v>143</v>
      </c>
      <c r="M84" s="109" t="s">
        <v>211</v>
      </c>
      <c r="N84" s="109" t="s">
        <v>117</v>
      </c>
      <c r="O84" s="109" t="s">
        <v>16</v>
      </c>
      <c r="P84" s="109" t="s">
        <v>183</v>
      </c>
      <c r="Q84" s="109" t="s">
        <v>183</v>
      </c>
      <c r="R84" s="109" t="s">
        <v>183</v>
      </c>
      <c r="S84" s="109" t="s">
        <v>183</v>
      </c>
      <c r="T84" s="109" t="s">
        <v>183</v>
      </c>
      <c r="U84" s="109" t="s">
        <v>183</v>
      </c>
      <c r="V84" s="109" t="s">
        <v>183</v>
      </c>
      <c r="W84" s="109" t="s">
        <v>183</v>
      </c>
      <c r="X84" s="109" t="s">
        <v>183</v>
      </c>
      <c r="Y84" s="109"/>
      <c r="Z84" s="109" t="s">
        <v>133</v>
      </c>
      <c r="AA84" s="109"/>
      <c r="AB84" s="109"/>
      <c r="AC84" s="109"/>
      <c r="AD84" s="109"/>
      <c r="AE84" s="109"/>
      <c r="AF84" s="109"/>
      <c r="AG84" s="109"/>
      <c r="AH84" s="109"/>
      <c r="AI84" s="109"/>
      <c r="AJ84" s="109"/>
      <c r="AK84" s="109"/>
      <c r="AL84" s="109"/>
      <c r="AM84" s="109"/>
      <c r="AN84" s="111"/>
    </row>
    <row r="85" spans="1:40" ht="28.8">
      <c r="A85" s="108">
        <v>37</v>
      </c>
      <c r="B85" s="109" t="s">
        <v>197</v>
      </c>
      <c r="C85" s="109" t="s">
        <v>109</v>
      </c>
      <c r="D85" s="109" t="s">
        <v>169</v>
      </c>
      <c r="E85" s="109"/>
      <c r="F85" s="109" t="s">
        <v>210</v>
      </c>
      <c r="G85" s="109"/>
      <c r="H85" s="109"/>
      <c r="I85" s="109"/>
      <c r="J85" s="109"/>
      <c r="K85" s="109" t="s">
        <v>114</v>
      </c>
      <c r="L85" s="109" t="s">
        <v>143</v>
      </c>
      <c r="M85" s="109" t="s">
        <v>213</v>
      </c>
      <c r="N85" s="109" t="s">
        <v>129</v>
      </c>
      <c r="O85" s="109" t="s">
        <v>16</v>
      </c>
      <c r="P85" s="109" t="s">
        <v>183</v>
      </c>
      <c r="Q85" s="109" t="s">
        <v>183</v>
      </c>
      <c r="R85" s="109" t="s">
        <v>183</v>
      </c>
      <c r="S85" s="109" t="s">
        <v>183</v>
      </c>
      <c r="T85" s="109" t="s">
        <v>183</v>
      </c>
      <c r="U85" s="109" t="s">
        <v>183</v>
      </c>
      <c r="V85" s="109" t="s">
        <v>183</v>
      </c>
      <c r="W85" s="109" t="s">
        <v>183</v>
      </c>
      <c r="X85" s="109" t="s">
        <v>183</v>
      </c>
      <c r="Y85" s="109"/>
      <c r="Z85" s="109"/>
      <c r="AA85" s="109"/>
      <c r="AB85" s="109"/>
      <c r="AC85" s="109"/>
      <c r="AD85" s="109"/>
      <c r="AE85" s="109"/>
      <c r="AF85" s="109"/>
      <c r="AG85" s="109"/>
      <c r="AH85" s="109"/>
      <c r="AI85" s="109"/>
      <c r="AJ85" s="109"/>
      <c r="AK85" s="109"/>
      <c r="AL85" s="109"/>
      <c r="AM85" s="109"/>
      <c r="AN85" s="111"/>
    </row>
    <row r="86" spans="1:40" ht="28.8">
      <c r="A86" s="108">
        <v>38</v>
      </c>
      <c r="B86" s="109" t="s">
        <v>198</v>
      </c>
      <c r="C86" s="109" t="s">
        <v>109</v>
      </c>
      <c r="D86" s="109" t="s">
        <v>169</v>
      </c>
      <c r="E86" s="109"/>
      <c r="F86" s="109" t="s">
        <v>212</v>
      </c>
      <c r="G86" s="109"/>
      <c r="H86" s="109"/>
      <c r="I86" s="109"/>
      <c r="J86" s="109"/>
      <c r="K86" s="109" t="s">
        <v>127</v>
      </c>
      <c r="L86" s="109" t="s">
        <v>143</v>
      </c>
      <c r="M86" s="109" t="s">
        <v>215</v>
      </c>
      <c r="N86" s="109" t="s">
        <v>117</v>
      </c>
      <c r="O86" s="109" t="s">
        <v>16</v>
      </c>
      <c r="P86" s="109" t="s">
        <v>183</v>
      </c>
      <c r="Q86" s="109" t="s">
        <v>183</v>
      </c>
      <c r="R86" s="109" t="s">
        <v>183</v>
      </c>
      <c r="S86" s="109" t="s">
        <v>183</v>
      </c>
      <c r="T86" s="109" t="s">
        <v>183</v>
      </c>
      <c r="U86" s="109" t="s">
        <v>183</v>
      </c>
      <c r="V86" s="109" t="s">
        <v>183</v>
      </c>
      <c r="W86" s="109" t="s">
        <v>183</v>
      </c>
      <c r="X86" s="109" t="s">
        <v>183</v>
      </c>
      <c r="Y86" s="109"/>
      <c r="Z86" s="109"/>
      <c r="AA86" s="109"/>
      <c r="AB86" s="109"/>
      <c r="AC86" s="109"/>
      <c r="AD86" s="109"/>
      <c r="AE86" s="109"/>
      <c r="AF86" s="109"/>
      <c r="AG86" s="109"/>
      <c r="AH86" s="109"/>
      <c r="AI86" s="109"/>
      <c r="AJ86" s="109"/>
      <c r="AK86" s="109"/>
      <c r="AL86" s="109"/>
      <c r="AM86" s="109"/>
      <c r="AN86" s="111"/>
    </row>
    <row r="87" spans="1:40" ht="28.8">
      <c r="A87" s="108">
        <v>39</v>
      </c>
      <c r="B87" s="109" t="s">
        <v>222</v>
      </c>
      <c r="C87" s="109" t="s">
        <v>109</v>
      </c>
      <c r="D87" s="109" t="s">
        <v>169</v>
      </c>
      <c r="E87" s="109"/>
      <c r="F87" s="109" t="s">
        <v>214</v>
      </c>
      <c r="G87" s="109"/>
      <c r="H87" s="109"/>
      <c r="I87" s="109"/>
      <c r="J87" s="109"/>
      <c r="K87" s="109" t="s">
        <v>114</v>
      </c>
      <c r="L87" s="109" t="s">
        <v>143</v>
      </c>
      <c r="M87" s="109" t="s">
        <v>218</v>
      </c>
      <c r="N87" s="109" t="s">
        <v>129</v>
      </c>
      <c r="O87" s="109" t="s">
        <v>207</v>
      </c>
      <c r="P87" s="109" t="s">
        <v>183</v>
      </c>
      <c r="Q87" s="109" t="s">
        <v>183</v>
      </c>
      <c r="R87" s="109" t="s">
        <v>183</v>
      </c>
      <c r="S87" s="109" t="s">
        <v>183</v>
      </c>
      <c r="T87" s="109" t="s">
        <v>183</v>
      </c>
      <c r="U87" s="109" t="s">
        <v>183</v>
      </c>
      <c r="V87" s="109" t="s">
        <v>183</v>
      </c>
      <c r="W87" s="109" t="s">
        <v>183</v>
      </c>
      <c r="X87" s="109" t="s">
        <v>183</v>
      </c>
      <c r="Y87" s="109" t="s">
        <v>133</v>
      </c>
      <c r="Z87" s="109"/>
      <c r="AA87" s="109"/>
      <c r="AB87" s="109"/>
      <c r="AC87" s="109"/>
      <c r="AD87" s="109"/>
      <c r="AE87" s="109"/>
      <c r="AF87" s="109"/>
      <c r="AG87" s="109"/>
      <c r="AH87" s="109"/>
      <c r="AI87" s="109"/>
      <c r="AJ87" s="109"/>
      <c r="AK87" s="109"/>
      <c r="AL87" s="109"/>
      <c r="AM87" s="109"/>
      <c r="AN87" s="111"/>
    </row>
    <row r="88" spans="1:40" ht="28.8">
      <c r="A88" s="108">
        <v>40</v>
      </c>
      <c r="B88" s="109" t="s">
        <v>223</v>
      </c>
      <c r="C88" s="109" t="s">
        <v>109</v>
      </c>
      <c r="D88" s="109" t="s">
        <v>169</v>
      </c>
      <c r="E88" s="109"/>
      <c r="F88" s="109" t="s">
        <v>217</v>
      </c>
      <c r="G88" s="109"/>
      <c r="H88" s="109"/>
      <c r="I88" s="109"/>
      <c r="J88" s="109"/>
      <c r="K88" s="109" t="s">
        <v>127</v>
      </c>
      <c r="L88" s="109" t="s">
        <v>143</v>
      </c>
      <c r="M88" s="109" t="s">
        <v>139</v>
      </c>
      <c r="N88" s="109" t="s">
        <v>117</v>
      </c>
      <c r="O88" s="109" t="s">
        <v>16</v>
      </c>
      <c r="P88" s="109" t="s">
        <v>183</v>
      </c>
      <c r="Q88" s="109" t="s">
        <v>183</v>
      </c>
      <c r="R88" s="109" t="s">
        <v>183</v>
      </c>
      <c r="S88" s="109" t="s">
        <v>183</v>
      </c>
      <c r="T88" s="109" t="s">
        <v>183</v>
      </c>
      <c r="U88" s="109" t="s">
        <v>183</v>
      </c>
      <c r="V88" s="109" t="s">
        <v>183</v>
      </c>
      <c r="W88" s="109" t="s">
        <v>183</v>
      </c>
      <c r="X88" s="109" t="s">
        <v>183</v>
      </c>
      <c r="Y88" s="109"/>
      <c r="Z88" s="109"/>
      <c r="AA88" s="109"/>
      <c r="AB88" s="109"/>
      <c r="AC88" s="109"/>
      <c r="AD88" s="109"/>
      <c r="AE88" s="109"/>
      <c r="AF88" s="109"/>
      <c r="AG88" s="109"/>
      <c r="AH88" s="109"/>
      <c r="AI88" s="109"/>
      <c r="AJ88" s="109"/>
      <c r="AK88" s="109"/>
      <c r="AL88" s="109"/>
      <c r="AM88" s="109"/>
      <c r="AN88" s="111"/>
    </row>
    <row r="89" spans="1:40" ht="28.8">
      <c r="A89" s="108">
        <v>41</v>
      </c>
      <c r="B89" s="109" t="s">
        <v>224</v>
      </c>
      <c r="C89" s="109" t="s">
        <v>109</v>
      </c>
      <c r="D89" s="109" t="s">
        <v>169</v>
      </c>
      <c r="E89" s="109"/>
      <c r="F89" s="109" t="s">
        <v>219</v>
      </c>
      <c r="G89" s="109"/>
      <c r="H89" s="109"/>
      <c r="I89" s="109"/>
      <c r="J89" s="109"/>
      <c r="K89" s="109" t="s">
        <v>114</v>
      </c>
      <c r="L89" s="109" t="s">
        <v>155</v>
      </c>
      <c r="M89" s="109" t="s">
        <v>116</v>
      </c>
      <c r="N89" s="109" t="s">
        <v>129</v>
      </c>
      <c r="O89" s="109" t="s">
        <v>207</v>
      </c>
      <c r="P89" s="109" t="s">
        <v>183</v>
      </c>
      <c r="Q89" s="109" t="s">
        <v>183</v>
      </c>
      <c r="R89" s="109" t="s">
        <v>183</v>
      </c>
      <c r="S89" s="109" t="s">
        <v>183</v>
      </c>
      <c r="T89" s="109" t="s">
        <v>183</v>
      </c>
      <c r="U89" s="109" t="s">
        <v>183</v>
      </c>
      <c r="V89" s="109" t="s">
        <v>183</v>
      </c>
      <c r="W89" s="109" t="s">
        <v>183</v>
      </c>
      <c r="X89" s="109" t="s">
        <v>183</v>
      </c>
      <c r="Y89" s="109"/>
      <c r="Z89" s="109"/>
      <c r="AA89" s="109"/>
      <c r="AB89" s="109"/>
      <c r="AC89" s="109"/>
      <c r="AD89" s="109"/>
      <c r="AE89" s="109"/>
      <c r="AF89" s="109"/>
      <c r="AG89" s="109"/>
      <c r="AH89" s="109"/>
      <c r="AI89" s="109"/>
      <c r="AJ89" s="109"/>
      <c r="AK89" s="109"/>
      <c r="AL89" s="109"/>
      <c r="AM89" s="109"/>
      <c r="AN89" s="111"/>
    </row>
    <row r="90" spans="1:40" ht="28.8">
      <c r="A90" s="108">
        <v>42</v>
      </c>
      <c r="B90" s="109" t="s">
        <v>225</v>
      </c>
      <c r="C90" s="109" t="s">
        <v>109</v>
      </c>
      <c r="D90" s="109" t="s">
        <v>169</v>
      </c>
      <c r="E90" s="109"/>
      <c r="F90" s="109" t="s">
        <v>220</v>
      </c>
      <c r="G90" s="109"/>
      <c r="H90" s="109"/>
      <c r="I90" s="109"/>
      <c r="J90" s="109"/>
      <c r="K90" s="109" t="s">
        <v>127</v>
      </c>
      <c r="L90" s="109" t="s">
        <v>155</v>
      </c>
      <c r="M90" s="109" t="s">
        <v>206</v>
      </c>
      <c r="N90" s="109" t="s">
        <v>117</v>
      </c>
      <c r="O90" s="109" t="s">
        <v>16</v>
      </c>
      <c r="P90" s="109" t="s">
        <v>183</v>
      </c>
      <c r="Q90" s="109" t="s">
        <v>183</v>
      </c>
      <c r="R90" s="109" t="s">
        <v>183</v>
      </c>
      <c r="S90" s="109" t="s">
        <v>183</v>
      </c>
      <c r="T90" s="109" t="s">
        <v>183</v>
      </c>
      <c r="U90" s="109" t="s">
        <v>183</v>
      </c>
      <c r="V90" s="109" t="s">
        <v>183</v>
      </c>
      <c r="W90" s="109" t="s">
        <v>183</v>
      </c>
      <c r="X90" s="109" t="s">
        <v>183</v>
      </c>
      <c r="Y90" s="109"/>
      <c r="Z90" s="109"/>
      <c r="AA90" s="109"/>
      <c r="AB90" s="109"/>
      <c r="AC90" s="109"/>
      <c r="AD90" s="109"/>
      <c r="AE90" s="109"/>
      <c r="AF90" s="109"/>
      <c r="AG90" s="109"/>
      <c r="AH90" s="109"/>
      <c r="AI90" s="109"/>
      <c r="AJ90" s="109"/>
      <c r="AK90" s="109"/>
      <c r="AL90" s="109"/>
      <c r="AM90" s="109"/>
      <c r="AN90" s="111"/>
    </row>
    <row r="91" spans="1:40" ht="28.8">
      <c r="A91" s="108">
        <v>43</v>
      </c>
      <c r="B91" s="109" t="s">
        <v>226</v>
      </c>
      <c r="C91" s="109" t="s">
        <v>109</v>
      </c>
      <c r="D91" s="109" t="s">
        <v>169</v>
      </c>
      <c r="E91" s="109"/>
      <c r="F91" s="109" t="s">
        <v>203</v>
      </c>
      <c r="G91" s="109"/>
      <c r="H91" s="109"/>
      <c r="I91" s="109"/>
      <c r="J91" s="109"/>
      <c r="K91" s="109" t="s">
        <v>114</v>
      </c>
      <c r="L91" s="109" t="s">
        <v>155</v>
      </c>
      <c r="M91" s="109" t="s">
        <v>209</v>
      </c>
      <c r="N91" s="109" t="s">
        <v>129</v>
      </c>
      <c r="O91" s="109" t="s">
        <v>207</v>
      </c>
      <c r="P91" s="109" t="s">
        <v>183</v>
      </c>
      <c r="Q91" s="109" t="s">
        <v>183</v>
      </c>
      <c r="R91" s="109" t="s">
        <v>183</v>
      </c>
      <c r="S91" s="109" t="s">
        <v>183</v>
      </c>
      <c r="T91" s="109" t="s">
        <v>183</v>
      </c>
      <c r="U91" s="109" t="s">
        <v>183</v>
      </c>
      <c r="V91" s="109" t="s">
        <v>183</v>
      </c>
      <c r="W91" s="109" t="s">
        <v>183</v>
      </c>
      <c r="X91" s="109" t="s">
        <v>183</v>
      </c>
      <c r="Y91" s="109"/>
      <c r="Z91" s="109"/>
      <c r="AA91" s="109"/>
      <c r="AB91" s="109"/>
      <c r="AC91" s="109"/>
      <c r="AD91" s="109"/>
      <c r="AE91" s="109"/>
      <c r="AF91" s="109"/>
      <c r="AG91" s="109"/>
      <c r="AH91" s="109"/>
      <c r="AI91" s="109"/>
      <c r="AJ91" s="109"/>
      <c r="AK91" s="109"/>
      <c r="AL91" s="109"/>
      <c r="AM91" s="109"/>
      <c r="AN91" s="111"/>
    </row>
    <row r="92" spans="1:40" ht="28.8">
      <c r="A92" s="108">
        <v>44</v>
      </c>
      <c r="B92" s="109" t="s">
        <v>227</v>
      </c>
      <c r="C92" s="109" t="s">
        <v>109</v>
      </c>
      <c r="D92" s="109" t="s">
        <v>169</v>
      </c>
      <c r="E92" s="109"/>
      <c r="F92" s="109" t="s">
        <v>205</v>
      </c>
      <c r="G92" s="109"/>
      <c r="H92" s="109"/>
      <c r="I92" s="109"/>
      <c r="J92" s="109"/>
      <c r="K92" s="109" t="s">
        <v>127</v>
      </c>
      <c r="L92" s="109" t="s">
        <v>155</v>
      </c>
      <c r="M92" s="109" t="s">
        <v>211</v>
      </c>
      <c r="N92" s="109" t="s">
        <v>117</v>
      </c>
      <c r="O92" s="109" t="s">
        <v>16</v>
      </c>
      <c r="P92" s="109" t="s">
        <v>183</v>
      </c>
      <c r="Q92" s="109" t="s">
        <v>183</v>
      </c>
      <c r="R92" s="109" t="s">
        <v>183</v>
      </c>
      <c r="S92" s="109" t="s">
        <v>183</v>
      </c>
      <c r="T92" s="109" t="s">
        <v>183</v>
      </c>
      <c r="U92" s="109" t="s">
        <v>183</v>
      </c>
      <c r="V92" s="109" t="s">
        <v>183</v>
      </c>
      <c r="W92" s="109" t="s">
        <v>183</v>
      </c>
      <c r="X92" s="109" t="s">
        <v>183</v>
      </c>
      <c r="Y92" s="109"/>
      <c r="Z92" s="109"/>
      <c r="AA92" s="109"/>
      <c r="AB92" s="109"/>
      <c r="AC92" s="109"/>
      <c r="AD92" s="109"/>
      <c r="AE92" s="109"/>
      <c r="AF92" s="109"/>
      <c r="AG92" s="109"/>
      <c r="AH92" s="109"/>
      <c r="AI92" s="109"/>
      <c r="AJ92" s="109"/>
      <c r="AK92" s="109"/>
      <c r="AL92" s="109"/>
      <c r="AM92" s="109"/>
      <c r="AN92" s="111"/>
    </row>
    <row r="93" spans="1:40" ht="28.8">
      <c r="A93" s="108">
        <v>45</v>
      </c>
      <c r="B93" s="109" t="s">
        <v>228</v>
      </c>
      <c r="C93" s="109" t="s">
        <v>109</v>
      </c>
      <c r="D93" s="109" t="s">
        <v>169</v>
      </c>
      <c r="E93" s="109"/>
      <c r="F93" s="109" t="s">
        <v>208</v>
      </c>
      <c r="G93" s="109"/>
      <c r="H93" s="109"/>
      <c r="I93" s="109"/>
      <c r="J93" s="109"/>
      <c r="K93" s="109" t="s">
        <v>114</v>
      </c>
      <c r="L93" s="109" t="s">
        <v>155</v>
      </c>
      <c r="M93" s="109" t="s">
        <v>213</v>
      </c>
      <c r="N93" s="109" t="s">
        <v>129</v>
      </c>
      <c r="O93" s="109" t="s">
        <v>207</v>
      </c>
      <c r="P93" s="109" t="s">
        <v>183</v>
      </c>
      <c r="Q93" s="109" t="s">
        <v>183</v>
      </c>
      <c r="R93" s="109" t="s">
        <v>183</v>
      </c>
      <c r="S93" s="109" t="s">
        <v>183</v>
      </c>
      <c r="T93" s="109" t="s">
        <v>183</v>
      </c>
      <c r="U93" s="109" t="s">
        <v>183</v>
      </c>
      <c r="V93" s="109" t="s">
        <v>183</v>
      </c>
      <c r="W93" s="109" t="s">
        <v>183</v>
      </c>
      <c r="X93" s="109" t="s">
        <v>183</v>
      </c>
      <c r="Y93" s="109"/>
      <c r="Z93" s="109"/>
      <c r="AA93" s="109"/>
      <c r="AB93" s="109"/>
      <c r="AC93" s="109"/>
      <c r="AD93" s="109"/>
      <c r="AE93" s="109"/>
      <c r="AF93" s="109"/>
      <c r="AG93" s="109"/>
      <c r="AH93" s="109"/>
      <c r="AI93" s="109"/>
      <c r="AJ93" s="109"/>
      <c r="AK93" s="109"/>
      <c r="AL93" s="109"/>
      <c r="AM93" s="109"/>
      <c r="AN93" s="111"/>
    </row>
    <row r="94" spans="1:40" ht="28.8">
      <c r="A94" s="108">
        <v>46</v>
      </c>
      <c r="B94" s="109" t="s">
        <v>229</v>
      </c>
      <c r="C94" s="109" t="s">
        <v>109</v>
      </c>
      <c r="D94" s="109" t="s">
        <v>169</v>
      </c>
      <c r="E94" s="109"/>
      <c r="F94" s="109" t="s">
        <v>210</v>
      </c>
      <c r="G94" s="109"/>
      <c r="H94" s="109"/>
      <c r="I94" s="109"/>
      <c r="J94" s="109"/>
      <c r="K94" s="109" t="s">
        <v>127</v>
      </c>
      <c r="L94" s="109" t="s">
        <v>155</v>
      </c>
      <c r="M94" s="109" t="s">
        <v>215</v>
      </c>
      <c r="N94" s="109" t="s">
        <v>117</v>
      </c>
      <c r="O94" s="109" t="s">
        <v>16</v>
      </c>
      <c r="P94" s="109" t="s">
        <v>183</v>
      </c>
      <c r="Q94" s="109" t="s">
        <v>183</v>
      </c>
      <c r="R94" s="109" t="s">
        <v>183</v>
      </c>
      <c r="S94" s="109" t="s">
        <v>183</v>
      </c>
      <c r="T94" s="109" t="s">
        <v>183</v>
      </c>
      <c r="U94" s="109" t="s">
        <v>183</v>
      </c>
      <c r="V94" s="109" t="s">
        <v>183</v>
      </c>
      <c r="W94" s="109" t="s">
        <v>183</v>
      </c>
      <c r="X94" s="109" t="s">
        <v>183</v>
      </c>
      <c r="Y94" s="109"/>
      <c r="Z94" s="109"/>
      <c r="AA94" s="109" t="s">
        <v>133</v>
      </c>
      <c r="AB94" s="109"/>
      <c r="AC94" s="109"/>
      <c r="AD94" s="109"/>
      <c r="AE94" s="109"/>
      <c r="AF94" s="109"/>
      <c r="AG94" s="109"/>
      <c r="AH94" s="109"/>
      <c r="AI94" s="109"/>
      <c r="AJ94" s="109"/>
      <c r="AK94" s="109"/>
      <c r="AL94" s="109"/>
      <c r="AM94" s="109"/>
      <c r="AN94" s="111"/>
    </row>
    <row r="95" spans="1:40" ht="28.8">
      <c r="A95" s="108">
        <v>47</v>
      </c>
      <c r="B95" s="109" t="s">
        <v>230</v>
      </c>
      <c r="C95" s="109" t="s">
        <v>109</v>
      </c>
      <c r="D95" s="109" t="s">
        <v>169</v>
      </c>
      <c r="E95" s="109"/>
      <c r="F95" s="109" t="s">
        <v>212</v>
      </c>
      <c r="G95" s="109"/>
      <c r="H95" s="109"/>
      <c r="I95" s="109"/>
      <c r="J95" s="109"/>
      <c r="K95" s="109" t="s">
        <v>114</v>
      </c>
      <c r="L95" s="109" t="s">
        <v>155</v>
      </c>
      <c r="M95" s="109" t="s">
        <v>218</v>
      </c>
      <c r="N95" s="109" t="s">
        <v>129</v>
      </c>
      <c r="O95" s="109" t="s">
        <v>207</v>
      </c>
      <c r="P95" s="109" t="s">
        <v>183</v>
      </c>
      <c r="Q95" s="109" t="s">
        <v>183</v>
      </c>
      <c r="R95" s="109" t="s">
        <v>183</v>
      </c>
      <c r="S95" s="109" t="s">
        <v>183</v>
      </c>
      <c r="T95" s="109" t="s">
        <v>183</v>
      </c>
      <c r="U95" s="109" t="s">
        <v>183</v>
      </c>
      <c r="V95" s="109" t="s">
        <v>183</v>
      </c>
      <c r="W95" s="109" t="s">
        <v>183</v>
      </c>
      <c r="X95" s="109" t="s">
        <v>183</v>
      </c>
      <c r="Y95" s="109"/>
      <c r="Z95" s="109"/>
      <c r="AA95" s="109"/>
      <c r="AB95" s="109"/>
      <c r="AC95" s="109"/>
      <c r="AD95" s="109"/>
      <c r="AE95" s="109"/>
      <c r="AF95" s="109"/>
      <c r="AG95" s="109"/>
      <c r="AH95" s="109"/>
      <c r="AI95" s="109"/>
      <c r="AJ95" s="109"/>
      <c r="AK95" s="109"/>
      <c r="AL95" s="109"/>
      <c r="AM95" s="109"/>
      <c r="AN95" s="111"/>
    </row>
    <row r="96" spans="1:40" ht="28.8">
      <c r="A96" s="108">
        <v>48</v>
      </c>
      <c r="B96" s="109" t="s">
        <v>231</v>
      </c>
      <c r="C96" s="109" t="s">
        <v>109</v>
      </c>
      <c r="D96" s="109" t="s">
        <v>169</v>
      </c>
      <c r="E96" s="109"/>
      <c r="F96" s="109" t="s">
        <v>214</v>
      </c>
      <c r="G96" s="109"/>
      <c r="H96" s="109"/>
      <c r="I96" s="109"/>
      <c r="J96" s="109"/>
      <c r="K96" s="109" t="s">
        <v>127</v>
      </c>
      <c r="L96" s="109" t="s">
        <v>155</v>
      </c>
      <c r="M96" s="109" t="s">
        <v>139</v>
      </c>
      <c r="N96" s="109" t="s">
        <v>117</v>
      </c>
      <c r="O96" s="109" t="s">
        <v>16</v>
      </c>
      <c r="P96" s="109" t="s">
        <v>183</v>
      </c>
      <c r="Q96" s="109" t="s">
        <v>183</v>
      </c>
      <c r="R96" s="109" t="s">
        <v>183</v>
      </c>
      <c r="S96" s="109" t="s">
        <v>183</v>
      </c>
      <c r="T96" s="109" t="s">
        <v>183</v>
      </c>
      <c r="U96" s="109" t="s">
        <v>183</v>
      </c>
      <c r="V96" s="109" t="s">
        <v>183</v>
      </c>
      <c r="W96" s="109" t="s">
        <v>183</v>
      </c>
      <c r="X96" s="109" t="s">
        <v>183</v>
      </c>
      <c r="Y96" s="109"/>
      <c r="Z96" s="109"/>
      <c r="AA96" s="109"/>
      <c r="AB96" s="109"/>
      <c r="AC96" s="109"/>
      <c r="AD96" s="109"/>
      <c r="AE96" s="109"/>
      <c r="AF96" s="109"/>
      <c r="AG96" s="109"/>
      <c r="AH96" s="109"/>
      <c r="AI96" s="109"/>
      <c r="AJ96" s="109"/>
      <c r="AK96" s="109"/>
      <c r="AL96" s="109"/>
      <c r="AM96" s="109"/>
      <c r="AN96" s="111"/>
    </row>
    <row r="97" spans="1:40" ht="28.8">
      <c r="A97" s="108">
        <v>49</v>
      </c>
      <c r="B97" s="109" t="s">
        <v>232</v>
      </c>
      <c r="C97" s="109" t="s">
        <v>109</v>
      </c>
      <c r="D97" s="109" t="s">
        <v>110</v>
      </c>
      <c r="E97" s="109"/>
      <c r="F97" s="109" t="s">
        <v>217</v>
      </c>
      <c r="G97" s="109" t="b">
        <v>1</v>
      </c>
      <c r="H97" s="109" t="b">
        <v>1</v>
      </c>
      <c r="I97" s="110" t="s">
        <v>137</v>
      </c>
      <c r="J97" s="109" t="s">
        <v>126</v>
      </c>
      <c r="K97" s="109" t="s">
        <v>114</v>
      </c>
      <c r="L97" s="109" t="s">
        <v>115</v>
      </c>
      <c r="M97" s="109"/>
      <c r="N97" s="109" t="s">
        <v>117</v>
      </c>
      <c r="O97" s="109" t="s">
        <v>183</v>
      </c>
      <c r="P97" s="109"/>
      <c r="Q97" s="109"/>
      <c r="R97" s="109" t="s">
        <v>144</v>
      </c>
      <c r="S97" s="109"/>
      <c r="T97" s="109" t="s">
        <v>144</v>
      </c>
      <c r="U97" s="109" t="s">
        <v>131</v>
      </c>
      <c r="V97" s="109" t="s">
        <v>132</v>
      </c>
      <c r="W97" s="109" t="s">
        <v>120</v>
      </c>
      <c r="X97" s="109" t="s">
        <v>144</v>
      </c>
      <c r="Y97" s="109"/>
      <c r="Z97" s="109"/>
      <c r="AA97" s="109"/>
      <c r="AB97" s="109"/>
      <c r="AC97" s="109"/>
      <c r="AD97" s="109"/>
      <c r="AE97" s="109"/>
      <c r="AF97" s="109"/>
      <c r="AG97" s="109"/>
      <c r="AH97" s="109"/>
      <c r="AI97" s="109"/>
      <c r="AJ97" s="109"/>
      <c r="AK97" s="109"/>
      <c r="AL97" s="109"/>
      <c r="AM97" s="109"/>
      <c r="AN97" s="111"/>
    </row>
    <row r="98" spans="1:40" ht="41.4">
      <c r="A98" s="108">
        <v>50</v>
      </c>
      <c r="B98" s="109" t="s">
        <v>233</v>
      </c>
      <c r="C98" s="109" t="s">
        <v>109</v>
      </c>
      <c r="D98" s="109" t="s">
        <v>110</v>
      </c>
      <c r="E98" s="109"/>
      <c r="F98" s="109" t="s">
        <v>219</v>
      </c>
      <c r="G98" s="109" t="b">
        <v>0</v>
      </c>
      <c r="H98" s="109" t="b">
        <v>0</v>
      </c>
      <c r="I98" s="110" t="s">
        <v>142</v>
      </c>
      <c r="J98" s="109"/>
      <c r="K98" s="109" t="s">
        <v>127</v>
      </c>
      <c r="L98" s="109" t="s">
        <v>143</v>
      </c>
      <c r="M98" s="109"/>
      <c r="N98" s="109" t="s">
        <v>117</v>
      </c>
      <c r="O98" s="109" t="s">
        <v>183</v>
      </c>
      <c r="P98" s="109"/>
      <c r="Q98" s="109"/>
      <c r="R98" s="109" t="s">
        <v>144</v>
      </c>
      <c r="S98" s="109" t="s">
        <v>120</v>
      </c>
      <c r="T98" s="109" t="s">
        <v>144</v>
      </c>
      <c r="U98" s="109" t="s">
        <v>121</v>
      </c>
      <c r="V98" s="109" t="s">
        <v>122</v>
      </c>
      <c r="W98" s="109" t="s">
        <v>120</v>
      </c>
      <c r="X98" s="109" t="s">
        <v>144</v>
      </c>
      <c r="Y98" s="109"/>
      <c r="Z98" s="109"/>
      <c r="AA98" s="109"/>
      <c r="AB98" s="109"/>
      <c r="AC98" s="109"/>
      <c r="AD98" s="109"/>
      <c r="AE98" s="109"/>
      <c r="AF98" s="109"/>
      <c r="AG98" s="109"/>
      <c r="AH98" s="109"/>
      <c r="AI98" s="109"/>
      <c r="AJ98" s="109"/>
      <c r="AK98" s="109"/>
      <c r="AL98" s="109"/>
      <c r="AM98" s="109"/>
      <c r="AN98" s="111"/>
    </row>
    <row r="99" spans="1:40" ht="28.8">
      <c r="A99" s="108">
        <v>51</v>
      </c>
      <c r="B99" s="109" t="s">
        <v>234</v>
      </c>
      <c r="C99" s="109" t="s">
        <v>109</v>
      </c>
      <c r="D99" s="109" t="s">
        <v>110</v>
      </c>
      <c r="E99" s="109"/>
      <c r="F99" s="109" t="s">
        <v>220</v>
      </c>
      <c r="G99" s="109" t="b">
        <v>0</v>
      </c>
      <c r="H99" s="109" t="b">
        <v>1</v>
      </c>
      <c r="I99" s="110" t="s">
        <v>147</v>
      </c>
      <c r="J99" s="109"/>
      <c r="K99" s="109" t="s">
        <v>127</v>
      </c>
      <c r="L99" s="109" t="s">
        <v>155</v>
      </c>
      <c r="M99" s="109"/>
      <c r="N99" s="109" t="s">
        <v>129</v>
      </c>
      <c r="O99" s="109" t="s">
        <v>183</v>
      </c>
      <c r="P99" s="109"/>
      <c r="Q99" s="109"/>
      <c r="R99" s="109" t="s">
        <v>144</v>
      </c>
      <c r="S99" s="109" t="s">
        <v>144</v>
      </c>
      <c r="T99" s="109" t="s">
        <v>144</v>
      </c>
      <c r="U99" s="109" t="s">
        <v>121</v>
      </c>
      <c r="V99" s="109" t="s">
        <v>178</v>
      </c>
      <c r="W99" s="109" t="s">
        <v>144</v>
      </c>
      <c r="X99" s="109" t="s">
        <v>144</v>
      </c>
      <c r="Y99" s="109"/>
      <c r="Z99" s="109"/>
      <c r="AA99" s="109"/>
      <c r="AB99" s="109"/>
      <c r="AC99" s="109"/>
      <c r="AD99" s="109"/>
      <c r="AE99" s="109"/>
      <c r="AF99" s="109"/>
      <c r="AG99" s="109"/>
      <c r="AH99" s="109"/>
      <c r="AI99" s="109"/>
      <c r="AJ99" s="109"/>
      <c r="AK99" s="109"/>
      <c r="AL99" s="109"/>
      <c r="AM99" s="109"/>
      <c r="AN99" s="111"/>
    </row>
    <row r="100" spans="1:40" ht="28.8">
      <c r="A100" s="108">
        <v>52</v>
      </c>
      <c r="B100" s="109" t="s">
        <v>235</v>
      </c>
      <c r="C100" s="109" t="s">
        <v>109</v>
      </c>
      <c r="D100" s="109" t="s">
        <v>110</v>
      </c>
      <c r="E100" s="109"/>
      <c r="F100" s="109" t="s">
        <v>208</v>
      </c>
      <c r="G100" s="109" t="b">
        <v>0</v>
      </c>
      <c r="H100" s="109" t="b">
        <v>1</v>
      </c>
      <c r="I100" s="112" t="s">
        <v>158</v>
      </c>
      <c r="J100" s="109"/>
      <c r="K100" s="109" t="s">
        <v>127</v>
      </c>
      <c r="L100" s="109" t="s">
        <v>155</v>
      </c>
      <c r="M100" s="109"/>
      <c r="N100" s="109" t="s">
        <v>129</v>
      </c>
      <c r="O100" s="109" t="s">
        <v>183</v>
      </c>
      <c r="P100" s="109"/>
      <c r="Q100" s="109"/>
      <c r="R100" s="109" t="s">
        <v>120</v>
      </c>
      <c r="S100" s="109" t="s">
        <v>144</v>
      </c>
      <c r="T100" s="109" t="s">
        <v>120</v>
      </c>
      <c r="U100" s="109" t="s">
        <v>121</v>
      </c>
      <c r="V100" s="109" t="s">
        <v>178</v>
      </c>
      <c r="W100" s="109" t="s">
        <v>144</v>
      </c>
      <c r="X100" s="109" t="s">
        <v>144</v>
      </c>
      <c r="Y100" s="109"/>
      <c r="Z100" s="109"/>
      <c r="AA100" s="109"/>
      <c r="AB100" s="109"/>
      <c r="AC100" s="109"/>
      <c r="AD100" s="109"/>
      <c r="AE100" s="109"/>
      <c r="AF100" s="109"/>
      <c r="AG100" s="109"/>
      <c r="AH100" s="109"/>
      <c r="AI100" s="109"/>
      <c r="AJ100" s="109"/>
      <c r="AK100" s="109"/>
      <c r="AL100" s="109"/>
      <c r="AM100" s="109"/>
      <c r="AN100" s="111"/>
    </row>
    <row r="101" spans="1:40" ht="28.8">
      <c r="A101" s="108">
        <v>53</v>
      </c>
      <c r="B101" s="109" t="s">
        <v>236</v>
      </c>
      <c r="C101" s="109" t="s">
        <v>109</v>
      </c>
      <c r="D101" s="109" t="s">
        <v>110</v>
      </c>
      <c r="E101" s="109"/>
      <c r="F101" s="109" t="s">
        <v>210</v>
      </c>
      <c r="G101" s="109" t="b">
        <v>1</v>
      </c>
      <c r="H101" s="109" t="b">
        <v>1</v>
      </c>
      <c r="I101" s="112" t="s">
        <v>161</v>
      </c>
      <c r="J101" s="109"/>
      <c r="K101" s="109" t="s">
        <v>127</v>
      </c>
      <c r="L101" s="109" t="s">
        <v>115</v>
      </c>
      <c r="M101" s="109"/>
      <c r="N101" s="109" t="s">
        <v>117</v>
      </c>
      <c r="O101" s="109" t="s">
        <v>183</v>
      </c>
      <c r="P101" s="109"/>
      <c r="Q101" s="109"/>
      <c r="R101" s="109" t="s">
        <v>120</v>
      </c>
      <c r="S101" s="109" t="s">
        <v>120</v>
      </c>
      <c r="T101" s="109" t="s">
        <v>120</v>
      </c>
      <c r="U101" s="109" t="s">
        <v>131</v>
      </c>
      <c r="V101" s="109" t="s">
        <v>181</v>
      </c>
      <c r="W101" s="109" t="s">
        <v>144</v>
      </c>
      <c r="X101" s="109" t="s">
        <v>144</v>
      </c>
      <c r="Y101" s="109"/>
      <c r="Z101" s="109"/>
      <c r="AA101" s="109"/>
      <c r="AB101" s="109"/>
      <c r="AC101" s="109"/>
      <c r="AD101" s="109"/>
      <c r="AE101" s="109"/>
      <c r="AF101" s="109"/>
      <c r="AG101" s="109"/>
      <c r="AH101" s="109"/>
      <c r="AI101" s="109"/>
      <c r="AJ101" s="109"/>
      <c r="AK101" s="109"/>
      <c r="AL101" s="109"/>
      <c r="AM101" s="109"/>
      <c r="AN101" s="111"/>
    </row>
    <row r="102" spans="1:40" ht="28.8">
      <c r="A102" s="108">
        <v>54</v>
      </c>
      <c r="B102" s="109" t="s">
        <v>237</v>
      </c>
      <c r="C102" s="109" t="s">
        <v>109</v>
      </c>
      <c r="D102" s="109" t="s">
        <v>110</v>
      </c>
      <c r="E102" s="109"/>
      <c r="F102" s="109" t="s">
        <v>212</v>
      </c>
      <c r="G102" s="109" t="b">
        <v>0</v>
      </c>
      <c r="H102" s="109" t="b">
        <v>0</v>
      </c>
      <c r="I102" s="112" t="s">
        <v>164</v>
      </c>
      <c r="J102" s="114" t="s">
        <v>138</v>
      </c>
      <c r="K102" s="109" t="s">
        <v>114</v>
      </c>
      <c r="L102" s="109" t="s">
        <v>143</v>
      </c>
      <c r="M102" s="109"/>
      <c r="N102" s="109" t="s">
        <v>129</v>
      </c>
      <c r="O102" s="109" t="s">
        <v>183</v>
      </c>
      <c r="P102" s="109"/>
      <c r="Q102" s="109"/>
      <c r="R102" s="109" t="s">
        <v>120</v>
      </c>
      <c r="S102" s="109" t="s">
        <v>183</v>
      </c>
      <c r="T102" s="109" t="s">
        <v>120</v>
      </c>
      <c r="U102" s="109" t="s">
        <v>121</v>
      </c>
      <c r="V102" s="109" t="s">
        <v>178</v>
      </c>
      <c r="W102" s="109" t="s">
        <v>144</v>
      </c>
      <c r="X102" s="109" t="s">
        <v>144</v>
      </c>
      <c r="Y102" s="109"/>
      <c r="Z102" s="109"/>
      <c r="AA102" s="109"/>
      <c r="AB102" s="109"/>
      <c r="AC102" s="109"/>
      <c r="AD102" s="109"/>
      <c r="AE102" s="109"/>
      <c r="AF102" s="109"/>
      <c r="AG102" s="109"/>
      <c r="AH102" s="109"/>
      <c r="AI102" s="109"/>
      <c r="AJ102" s="109"/>
      <c r="AK102" s="109"/>
      <c r="AL102" s="109"/>
      <c r="AM102" s="109"/>
      <c r="AN102" s="111"/>
    </row>
    <row r="103" spans="1:40" ht="28.8">
      <c r="A103" s="108">
        <v>55</v>
      </c>
      <c r="B103" s="109" t="s">
        <v>238</v>
      </c>
      <c r="C103" s="109" t="s">
        <v>109</v>
      </c>
      <c r="D103" s="109" t="s">
        <v>110</v>
      </c>
      <c r="E103" s="109"/>
      <c r="F103" s="109" t="s">
        <v>214</v>
      </c>
      <c r="G103" s="109" t="b">
        <v>0</v>
      </c>
      <c r="H103" s="109" t="b">
        <v>1</v>
      </c>
      <c r="I103" s="112" t="s">
        <v>167</v>
      </c>
      <c r="J103" s="114" t="s">
        <v>138</v>
      </c>
      <c r="K103" s="109" t="s">
        <v>127</v>
      </c>
      <c r="L103" s="109" t="s">
        <v>155</v>
      </c>
      <c r="M103" s="109"/>
      <c r="N103" s="109" t="s">
        <v>117</v>
      </c>
      <c r="O103" s="109" t="s">
        <v>183</v>
      </c>
      <c r="P103" s="109"/>
      <c r="Q103" s="109"/>
      <c r="R103" s="109" t="s">
        <v>120</v>
      </c>
      <c r="S103" s="109" t="s">
        <v>183</v>
      </c>
      <c r="T103" s="109" t="s">
        <v>120</v>
      </c>
      <c r="U103" s="109" t="s">
        <v>131</v>
      </c>
      <c r="V103" s="109" t="s">
        <v>181</v>
      </c>
      <c r="W103" s="109" t="s">
        <v>144</v>
      </c>
      <c r="X103" s="109" t="s">
        <v>144</v>
      </c>
      <c r="Y103" s="109"/>
      <c r="Z103" s="109"/>
      <c r="AA103" s="109"/>
      <c r="AB103" s="109"/>
      <c r="AC103" s="109"/>
      <c r="AD103" s="109"/>
      <c r="AE103" s="109"/>
      <c r="AF103" s="109"/>
      <c r="AG103" s="109"/>
      <c r="AH103" s="109"/>
      <c r="AI103" s="109"/>
      <c r="AJ103" s="109"/>
      <c r="AK103" s="109"/>
      <c r="AL103" s="109"/>
      <c r="AM103" s="109"/>
      <c r="AN103" s="111"/>
    </row>
    <row r="104" spans="1:40">
      <c r="A104" s="108">
        <v>56</v>
      </c>
      <c r="B104" s="109" t="s">
        <v>239</v>
      </c>
      <c r="C104" s="109" t="s">
        <v>109</v>
      </c>
      <c r="D104" s="109" t="s">
        <v>110</v>
      </c>
      <c r="E104" s="109"/>
      <c r="F104" s="109"/>
      <c r="G104" s="109"/>
      <c r="H104" s="109"/>
      <c r="I104" s="109"/>
      <c r="J104" s="109"/>
      <c r="K104" s="109" t="s">
        <v>114</v>
      </c>
      <c r="L104" s="109" t="s">
        <v>115</v>
      </c>
      <c r="M104" s="109"/>
      <c r="N104" s="109" t="s">
        <v>129</v>
      </c>
      <c r="O104" s="109"/>
      <c r="P104" s="109"/>
      <c r="Q104" s="109"/>
      <c r="R104" s="109"/>
      <c r="S104" s="109"/>
      <c r="T104" s="109"/>
      <c r="U104" s="109"/>
      <c r="V104" s="109"/>
      <c r="W104" s="109"/>
      <c r="X104" s="109"/>
      <c r="Y104" s="109"/>
      <c r="Z104" s="109"/>
      <c r="AA104" s="109"/>
      <c r="AB104" s="109"/>
      <c r="AC104" s="109"/>
      <c r="AD104" s="109"/>
      <c r="AE104" s="109" t="s">
        <v>133</v>
      </c>
      <c r="AF104" s="109"/>
      <c r="AG104" s="109"/>
      <c r="AH104" s="109"/>
      <c r="AI104" s="109"/>
      <c r="AJ104" s="109"/>
      <c r="AK104" s="109"/>
      <c r="AL104" s="109"/>
      <c r="AM104" s="109"/>
      <c r="AN104" s="111"/>
    </row>
    <row r="105" spans="1:40" ht="28.8">
      <c r="A105" s="108">
        <v>57</v>
      </c>
      <c r="B105" s="109" t="s">
        <v>240</v>
      </c>
      <c r="C105" s="109" t="s">
        <v>109</v>
      </c>
      <c r="D105" s="109" t="s">
        <v>110</v>
      </c>
      <c r="E105" s="109"/>
      <c r="F105" s="109"/>
      <c r="G105" s="109"/>
      <c r="H105" s="109"/>
      <c r="I105" s="109"/>
      <c r="J105" s="109"/>
      <c r="K105" s="109" t="s">
        <v>127</v>
      </c>
      <c r="L105" s="109" t="s">
        <v>143</v>
      </c>
      <c r="M105" s="109"/>
      <c r="N105" s="109" t="s">
        <v>117</v>
      </c>
      <c r="O105" s="109"/>
      <c r="P105" s="109"/>
      <c r="Q105" s="109"/>
      <c r="R105" s="109"/>
      <c r="S105" s="109"/>
      <c r="T105" s="109"/>
      <c r="U105" s="109"/>
      <c r="V105" s="109"/>
      <c r="W105" s="109"/>
      <c r="X105" s="109"/>
      <c r="Y105" s="109"/>
      <c r="Z105" s="109"/>
      <c r="AA105" s="109"/>
      <c r="AB105" s="109"/>
      <c r="AC105" s="109"/>
      <c r="AD105" s="109"/>
      <c r="AE105" s="109"/>
      <c r="AF105" s="109" t="s">
        <v>133</v>
      </c>
      <c r="AG105" s="109"/>
      <c r="AH105" s="109"/>
      <c r="AI105" s="109"/>
      <c r="AJ105" s="109"/>
      <c r="AK105" s="109"/>
      <c r="AL105" s="109"/>
      <c r="AM105" s="109"/>
      <c r="AN105" s="111"/>
    </row>
    <row r="106" spans="1:40" ht="28.8">
      <c r="A106" s="108">
        <v>58</v>
      </c>
      <c r="B106" s="109" t="s">
        <v>241</v>
      </c>
      <c r="C106" s="109" t="s">
        <v>109</v>
      </c>
      <c r="D106" s="109" t="s">
        <v>110</v>
      </c>
      <c r="E106" s="109"/>
      <c r="F106" s="109"/>
      <c r="G106" s="109"/>
      <c r="H106" s="109"/>
      <c r="I106" s="109"/>
      <c r="J106" s="109"/>
      <c r="K106" s="109" t="s">
        <v>114</v>
      </c>
      <c r="L106" s="109" t="s">
        <v>155</v>
      </c>
      <c r="M106" s="109"/>
      <c r="N106" s="109" t="s">
        <v>129</v>
      </c>
      <c r="O106" s="109"/>
      <c r="P106" s="109"/>
      <c r="Q106" s="109"/>
      <c r="R106" s="109"/>
      <c r="S106" s="109"/>
      <c r="T106" s="109"/>
      <c r="U106" s="109"/>
      <c r="V106" s="109"/>
      <c r="W106" s="109"/>
      <c r="X106" s="109"/>
      <c r="Y106" s="109"/>
      <c r="Z106" s="109"/>
      <c r="AA106" s="109"/>
      <c r="AB106" s="109"/>
      <c r="AC106" s="109"/>
      <c r="AD106" s="109"/>
      <c r="AE106" s="109"/>
      <c r="AF106" s="109"/>
      <c r="AG106" s="109" t="s">
        <v>133</v>
      </c>
      <c r="AH106" s="109"/>
      <c r="AI106" s="109"/>
      <c r="AJ106" s="109"/>
      <c r="AK106" s="109"/>
      <c r="AL106" s="109"/>
      <c r="AM106" s="109"/>
      <c r="AN106" s="111"/>
    </row>
    <row r="107" spans="1:40">
      <c r="A107" s="108">
        <v>59</v>
      </c>
      <c r="B107" s="109" t="s">
        <v>242</v>
      </c>
      <c r="C107" s="109" t="s">
        <v>109</v>
      </c>
      <c r="D107" s="109" t="s">
        <v>110</v>
      </c>
      <c r="E107" s="109"/>
      <c r="F107" s="109"/>
      <c r="G107" s="109"/>
      <c r="H107" s="109"/>
      <c r="I107" s="109"/>
      <c r="J107" s="109"/>
      <c r="K107" s="109" t="s">
        <v>127</v>
      </c>
      <c r="L107" s="109" t="s">
        <v>115</v>
      </c>
      <c r="M107" s="109"/>
      <c r="N107" s="109" t="s">
        <v>117</v>
      </c>
      <c r="O107" s="109"/>
      <c r="P107" s="109"/>
      <c r="Q107" s="109"/>
      <c r="R107" s="109"/>
      <c r="S107" s="109"/>
      <c r="T107" s="109"/>
      <c r="U107" s="109"/>
      <c r="V107" s="109"/>
      <c r="W107" s="109"/>
      <c r="X107" s="109"/>
      <c r="Y107" s="109"/>
      <c r="Z107" s="109"/>
      <c r="AA107" s="109"/>
      <c r="AB107" s="109"/>
      <c r="AC107" s="109"/>
      <c r="AD107" s="109"/>
      <c r="AE107" s="109"/>
      <c r="AF107" s="109"/>
      <c r="AG107" s="109"/>
      <c r="AH107" s="109" t="s">
        <v>133</v>
      </c>
      <c r="AI107" s="109"/>
      <c r="AJ107" s="109"/>
      <c r="AK107" s="109"/>
      <c r="AL107" s="109"/>
      <c r="AM107" s="109"/>
      <c r="AN107" s="111"/>
    </row>
    <row r="108" spans="1:40" ht="28.8">
      <c r="A108" s="108">
        <v>60</v>
      </c>
      <c r="B108" s="109" t="s">
        <v>243</v>
      </c>
      <c r="C108" s="109" t="s">
        <v>109</v>
      </c>
      <c r="D108" s="109" t="s">
        <v>110</v>
      </c>
      <c r="E108" s="109"/>
      <c r="F108" s="109"/>
      <c r="G108" s="109"/>
      <c r="H108" s="109"/>
      <c r="I108" s="109"/>
      <c r="J108" s="109"/>
      <c r="K108" s="109" t="s">
        <v>114</v>
      </c>
      <c r="L108" s="109" t="s">
        <v>143</v>
      </c>
      <c r="M108" s="109"/>
      <c r="N108" s="109" t="s">
        <v>129</v>
      </c>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t="s">
        <v>133</v>
      </c>
      <c r="AJ108" s="109"/>
      <c r="AK108" s="109"/>
      <c r="AL108" s="109"/>
      <c r="AM108" s="109"/>
      <c r="AN108" s="111"/>
    </row>
    <row r="109" spans="1:40" ht="28.8">
      <c r="A109" s="108">
        <v>61</v>
      </c>
      <c r="B109" s="109" t="s">
        <v>244</v>
      </c>
      <c r="C109" s="109" t="s">
        <v>109</v>
      </c>
      <c r="D109" s="109" t="s">
        <v>110</v>
      </c>
      <c r="E109" s="109"/>
      <c r="F109" s="109"/>
      <c r="G109" s="109"/>
      <c r="H109" s="109"/>
      <c r="I109" s="109"/>
      <c r="J109" s="109"/>
      <c r="K109" s="109" t="s">
        <v>127</v>
      </c>
      <c r="L109" s="109" t="s">
        <v>155</v>
      </c>
      <c r="M109" s="109"/>
      <c r="N109" s="109" t="s">
        <v>117</v>
      </c>
      <c r="O109" s="109"/>
      <c r="P109" s="109"/>
      <c r="Q109" s="109"/>
      <c r="R109" s="109"/>
      <c r="S109" s="109"/>
      <c r="T109" s="109"/>
      <c r="U109" s="109"/>
      <c r="V109" s="109"/>
      <c r="W109" s="109"/>
      <c r="X109" s="109"/>
      <c r="Y109" s="109"/>
      <c r="Z109" s="109"/>
      <c r="AA109" s="109"/>
      <c r="AB109" s="109"/>
      <c r="AC109" s="109"/>
      <c r="AD109" s="109"/>
      <c r="AE109" s="109"/>
      <c r="AF109" s="109"/>
      <c r="AG109" s="109"/>
      <c r="AH109" s="109"/>
      <c r="AI109" s="109"/>
      <c r="AJ109" s="109" t="s">
        <v>133</v>
      </c>
      <c r="AK109" s="109"/>
      <c r="AL109" s="109"/>
      <c r="AM109" s="109"/>
      <c r="AN109" s="111"/>
    </row>
    <row r="110" spans="1:40">
      <c r="A110" s="108">
        <v>62</v>
      </c>
      <c r="B110" s="109" t="s">
        <v>245</v>
      </c>
      <c r="C110" s="109" t="s">
        <v>109</v>
      </c>
      <c r="D110" s="109" t="s">
        <v>110</v>
      </c>
      <c r="E110" s="109"/>
      <c r="F110" s="109"/>
      <c r="G110" s="109"/>
      <c r="H110" s="109"/>
      <c r="I110" s="109"/>
      <c r="J110" s="109"/>
      <c r="K110" s="109" t="s">
        <v>114</v>
      </c>
      <c r="L110" s="109" t="s">
        <v>115</v>
      </c>
      <c r="M110" s="109"/>
      <c r="N110" s="109" t="s">
        <v>129</v>
      </c>
      <c r="O110" s="109"/>
      <c r="P110" s="109"/>
      <c r="Q110" s="109"/>
      <c r="R110" s="109"/>
      <c r="S110" s="109"/>
      <c r="T110" s="109"/>
      <c r="U110" s="109"/>
      <c r="V110" s="109"/>
      <c r="W110" s="109"/>
      <c r="X110" s="109"/>
      <c r="Y110" s="109"/>
      <c r="Z110" s="109"/>
      <c r="AA110" s="109"/>
      <c r="AB110" s="109"/>
      <c r="AC110" s="109"/>
      <c r="AD110" s="109"/>
      <c r="AE110" s="109"/>
      <c r="AF110" s="109"/>
      <c r="AG110" s="109"/>
      <c r="AH110" s="109"/>
      <c r="AI110" s="109"/>
      <c r="AJ110" s="109"/>
      <c r="AK110" s="109" t="s">
        <v>133</v>
      </c>
      <c r="AL110" s="109"/>
      <c r="AM110" s="109"/>
      <c r="AN110" s="111"/>
    </row>
    <row r="111" spans="1:40" ht="28.8">
      <c r="A111" s="108">
        <v>63</v>
      </c>
      <c r="B111" s="109" t="s">
        <v>246</v>
      </c>
      <c r="C111" s="109" t="s">
        <v>109</v>
      </c>
      <c r="D111" s="109" t="s">
        <v>110</v>
      </c>
      <c r="E111" s="109"/>
      <c r="F111" s="109"/>
      <c r="G111" s="109"/>
      <c r="H111" s="109"/>
      <c r="I111" s="109"/>
      <c r="J111" s="109"/>
      <c r="K111" s="109" t="s">
        <v>114</v>
      </c>
      <c r="L111" s="109" t="s">
        <v>143</v>
      </c>
      <c r="M111" s="109"/>
      <c r="N111" s="109" t="s">
        <v>117</v>
      </c>
      <c r="O111" s="109"/>
      <c r="P111" s="109"/>
      <c r="Q111" s="109"/>
      <c r="R111" s="109"/>
      <c r="S111" s="109"/>
      <c r="T111" s="109"/>
      <c r="U111" s="109"/>
      <c r="V111" s="109"/>
      <c r="W111" s="109"/>
      <c r="X111" s="109"/>
      <c r="Y111" s="109"/>
      <c r="Z111" s="109"/>
      <c r="AA111" s="109"/>
      <c r="AB111" s="109"/>
      <c r="AC111" s="109"/>
      <c r="AD111" s="109"/>
      <c r="AE111" s="109"/>
      <c r="AF111" s="109"/>
      <c r="AG111" s="109"/>
      <c r="AH111" s="109"/>
      <c r="AI111" s="109"/>
      <c r="AJ111" s="109"/>
      <c r="AK111" s="109"/>
      <c r="AL111" s="109" t="s">
        <v>133</v>
      </c>
      <c r="AM111" s="109"/>
      <c r="AN111" s="111"/>
    </row>
    <row r="112" spans="1:40" ht="28.8">
      <c r="A112" s="108">
        <v>64</v>
      </c>
      <c r="B112" s="109" t="s">
        <v>247</v>
      </c>
      <c r="C112" s="109" t="s">
        <v>109</v>
      </c>
      <c r="D112" s="109" t="s">
        <v>110</v>
      </c>
      <c r="E112" s="109"/>
      <c r="F112" s="109"/>
      <c r="G112" s="109"/>
      <c r="H112" s="109"/>
      <c r="I112" s="109"/>
      <c r="J112" s="109"/>
      <c r="K112" s="109" t="s">
        <v>114</v>
      </c>
      <c r="L112" s="109" t="s">
        <v>155</v>
      </c>
      <c r="M112" s="109"/>
      <c r="N112" s="109" t="s">
        <v>129</v>
      </c>
      <c r="O112" s="109"/>
      <c r="P112" s="109"/>
      <c r="Q112" s="109"/>
      <c r="R112" s="109"/>
      <c r="S112" s="109"/>
      <c r="T112" s="109"/>
      <c r="U112" s="109"/>
      <c r="V112" s="109"/>
      <c r="W112" s="109"/>
      <c r="X112" s="109"/>
      <c r="Y112" s="109"/>
      <c r="Z112" s="109"/>
      <c r="AA112" s="109"/>
      <c r="AB112" s="109"/>
      <c r="AC112" s="109"/>
      <c r="AD112" s="109"/>
      <c r="AE112" s="109"/>
      <c r="AF112" s="109"/>
      <c r="AG112" s="109"/>
      <c r="AH112" s="109"/>
      <c r="AI112" s="109"/>
      <c r="AJ112" s="109"/>
      <c r="AK112" s="109"/>
      <c r="AL112" s="109"/>
      <c r="AM112" s="109" t="s">
        <v>133</v>
      </c>
      <c r="AN112" s="111"/>
    </row>
    <row r="113" spans="1:40" ht="28.8">
      <c r="A113" s="108">
        <v>65</v>
      </c>
      <c r="B113" s="109" t="s">
        <v>248</v>
      </c>
      <c r="C113" s="109" t="s">
        <v>109</v>
      </c>
      <c r="D113" s="109" t="s">
        <v>110</v>
      </c>
      <c r="E113" s="109"/>
      <c r="F113" s="109"/>
      <c r="G113" s="109"/>
      <c r="H113" s="109"/>
      <c r="I113" s="109"/>
      <c r="J113" s="109"/>
      <c r="K113" s="109" t="s">
        <v>127</v>
      </c>
      <c r="L113" s="109" t="s">
        <v>143</v>
      </c>
      <c r="M113" s="109"/>
      <c r="N113" s="109" t="s">
        <v>117</v>
      </c>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11" t="s">
        <v>133</v>
      </c>
    </row>
    <row r="114" spans="1:40">
      <c r="A114" s="108">
        <v>66</v>
      </c>
      <c r="B114" s="109" t="s">
        <v>249</v>
      </c>
      <c r="C114" s="109" t="s">
        <v>109</v>
      </c>
      <c r="D114" s="109" t="s">
        <v>169</v>
      </c>
      <c r="E114" s="109"/>
      <c r="F114" s="109"/>
      <c r="G114" s="109"/>
      <c r="H114" s="109"/>
      <c r="I114" s="109"/>
      <c r="J114" s="109"/>
      <c r="K114" s="109" t="s">
        <v>114</v>
      </c>
      <c r="L114" s="109" t="s">
        <v>115</v>
      </c>
      <c r="M114" s="109"/>
      <c r="N114" s="109" t="s">
        <v>129</v>
      </c>
      <c r="O114" s="109"/>
      <c r="P114" s="109"/>
      <c r="Q114" s="109"/>
      <c r="R114" s="109"/>
      <c r="S114" s="109"/>
      <c r="T114" s="109"/>
      <c r="U114" s="109"/>
      <c r="V114" s="109"/>
      <c r="W114" s="109"/>
      <c r="X114" s="109"/>
      <c r="Y114" s="109"/>
      <c r="Z114" s="109"/>
      <c r="AA114" s="109"/>
      <c r="AB114" s="109"/>
      <c r="AC114" s="109"/>
      <c r="AD114" s="109"/>
      <c r="AE114" s="109" t="s">
        <v>133</v>
      </c>
      <c r="AF114" s="109"/>
      <c r="AG114" s="109"/>
      <c r="AH114" s="109"/>
      <c r="AI114" s="109"/>
      <c r="AJ114" s="109"/>
      <c r="AK114" s="109"/>
      <c r="AL114" s="109"/>
      <c r="AM114" s="109"/>
      <c r="AN114" s="111"/>
    </row>
    <row r="115" spans="1:40" ht="28.8">
      <c r="A115" s="108">
        <v>67</v>
      </c>
      <c r="B115" s="109" t="s">
        <v>250</v>
      </c>
      <c r="C115" s="109" t="s">
        <v>109</v>
      </c>
      <c r="D115" s="109" t="s">
        <v>169</v>
      </c>
      <c r="E115" s="109"/>
      <c r="F115" s="109"/>
      <c r="G115" s="109"/>
      <c r="H115" s="109"/>
      <c r="I115" s="109"/>
      <c r="J115" s="109"/>
      <c r="K115" s="109" t="s">
        <v>127</v>
      </c>
      <c r="L115" s="109" t="s">
        <v>143</v>
      </c>
      <c r="M115" s="109"/>
      <c r="N115" s="109" t="s">
        <v>117</v>
      </c>
      <c r="O115" s="109"/>
      <c r="P115" s="109"/>
      <c r="Q115" s="109"/>
      <c r="R115" s="109"/>
      <c r="S115" s="109"/>
      <c r="T115" s="109"/>
      <c r="U115" s="109"/>
      <c r="V115" s="109"/>
      <c r="W115" s="109"/>
      <c r="X115" s="109"/>
      <c r="Y115" s="109"/>
      <c r="Z115" s="109"/>
      <c r="AA115" s="109"/>
      <c r="AB115" s="109"/>
      <c r="AC115" s="109"/>
      <c r="AD115" s="109"/>
      <c r="AE115" s="109"/>
      <c r="AF115" s="109" t="s">
        <v>133</v>
      </c>
      <c r="AG115" s="109"/>
      <c r="AH115" s="109"/>
      <c r="AI115" s="109"/>
      <c r="AJ115" s="109"/>
      <c r="AK115" s="109"/>
      <c r="AL115" s="109"/>
      <c r="AM115" s="109"/>
      <c r="AN115" s="111"/>
    </row>
    <row r="116" spans="1:40" ht="28.8">
      <c r="A116" s="108">
        <v>68</v>
      </c>
      <c r="B116" s="109" t="s">
        <v>251</v>
      </c>
      <c r="C116" s="109" t="s">
        <v>109</v>
      </c>
      <c r="D116" s="109" t="s">
        <v>169</v>
      </c>
      <c r="E116" s="109"/>
      <c r="F116" s="109"/>
      <c r="G116" s="109"/>
      <c r="H116" s="109"/>
      <c r="I116" s="109"/>
      <c r="J116" s="109"/>
      <c r="K116" s="109" t="s">
        <v>114</v>
      </c>
      <c r="L116" s="109" t="s">
        <v>155</v>
      </c>
      <c r="M116" s="109"/>
      <c r="N116" s="109" t="s">
        <v>129</v>
      </c>
      <c r="O116" s="109"/>
      <c r="P116" s="109"/>
      <c r="Q116" s="109"/>
      <c r="R116" s="109"/>
      <c r="S116" s="109"/>
      <c r="T116" s="109"/>
      <c r="U116" s="109"/>
      <c r="V116" s="109"/>
      <c r="W116" s="109"/>
      <c r="X116" s="109"/>
      <c r="Y116" s="109"/>
      <c r="Z116" s="109"/>
      <c r="AA116" s="109"/>
      <c r="AB116" s="109"/>
      <c r="AC116" s="109"/>
      <c r="AD116" s="109"/>
      <c r="AE116" s="109"/>
      <c r="AF116" s="109"/>
      <c r="AG116" s="109" t="s">
        <v>133</v>
      </c>
      <c r="AH116" s="109"/>
      <c r="AI116" s="109"/>
      <c r="AJ116" s="109"/>
      <c r="AK116" s="109"/>
      <c r="AL116" s="109"/>
      <c r="AM116" s="109"/>
      <c r="AN116" s="111"/>
    </row>
    <row r="117" spans="1:40">
      <c r="A117" s="108">
        <v>69</v>
      </c>
      <c r="B117" s="109" t="s">
        <v>252</v>
      </c>
      <c r="C117" s="109" t="s">
        <v>109</v>
      </c>
      <c r="D117" s="109" t="s">
        <v>169</v>
      </c>
      <c r="E117" s="109"/>
      <c r="F117" s="109"/>
      <c r="G117" s="109"/>
      <c r="H117" s="109"/>
      <c r="I117" s="109"/>
      <c r="J117" s="109"/>
      <c r="K117" s="109" t="s">
        <v>127</v>
      </c>
      <c r="L117" s="109" t="s">
        <v>115</v>
      </c>
      <c r="M117" s="109"/>
      <c r="N117" s="109" t="s">
        <v>117</v>
      </c>
      <c r="O117" s="109"/>
      <c r="P117" s="109"/>
      <c r="Q117" s="109"/>
      <c r="R117" s="109"/>
      <c r="S117" s="109"/>
      <c r="T117" s="109"/>
      <c r="U117" s="109"/>
      <c r="V117" s="109"/>
      <c r="W117" s="109"/>
      <c r="X117" s="109"/>
      <c r="Y117" s="109"/>
      <c r="Z117" s="109"/>
      <c r="AA117" s="109"/>
      <c r="AB117" s="109"/>
      <c r="AC117" s="109"/>
      <c r="AD117" s="109"/>
      <c r="AE117" s="109"/>
      <c r="AF117" s="109"/>
      <c r="AG117" s="109"/>
      <c r="AH117" s="109" t="s">
        <v>133</v>
      </c>
      <c r="AI117" s="109"/>
      <c r="AJ117" s="109"/>
      <c r="AK117" s="109"/>
      <c r="AL117" s="109"/>
      <c r="AM117" s="109"/>
      <c r="AN117" s="111"/>
    </row>
    <row r="118" spans="1:40" ht="28.8">
      <c r="A118" s="108">
        <v>70</v>
      </c>
      <c r="B118" s="109" t="s">
        <v>253</v>
      </c>
      <c r="C118" s="109" t="s">
        <v>109</v>
      </c>
      <c r="D118" s="109" t="s">
        <v>169</v>
      </c>
      <c r="E118" s="109"/>
      <c r="F118" s="109"/>
      <c r="G118" s="109"/>
      <c r="H118" s="109"/>
      <c r="I118" s="109"/>
      <c r="J118" s="109"/>
      <c r="K118" s="109" t="s">
        <v>114</v>
      </c>
      <c r="L118" s="109" t="s">
        <v>143</v>
      </c>
      <c r="M118" s="109"/>
      <c r="N118" s="109" t="s">
        <v>129</v>
      </c>
      <c r="O118" s="109"/>
      <c r="P118" s="109"/>
      <c r="Q118" s="109"/>
      <c r="R118" s="109"/>
      <c r="S118" s="109"/>
      <c r="T118" s="109"/>
      <c r="U118" s="109"/>
      <c r="V118" s="109"/>
      <c r="W118" s="109"/>
      <c r="X118" s="109"/>
      <c r="Y118" s="109"/>
      <c r="Z118" s="109"/>
      <c r="AA118" s="109"/>
      <c r="AB118" s="109"/>
      <c r="AC118" s="109"/>
      <c r="AD118" s="109"/>
      <c r="AE118" s="109"/>
      <c r="AF118" s="109"/>
      <c r="AG118" s="109"/>
      <c r="AH118" s="109"/>
      <c r="AI118" s="109" t="s">
        <v>133</v>
      </c>
      <c r="AJ118" s="109"/>
      <c r="AK118" s="109"/>
      <c r="AL118" s="109"/>
      <c r="AM118" s="109"/>
      <c r="AN118" s="111"/>
    </row>
    <row r="119" spans="1:40" ht="28.8">
      <c r="A119" s="108">
        <v>71</v>
      </c>
      <c r="B119" s="109" t="s">
        <v>254</v>
      </c>
      <c r="C119" s="109" t="s">
        <v>109</v>
      </c>
      <c r="D119" s="109" t="s">
        <v>169</v>
      </c>
      <c r="E119" s="109"/>
      <c r="F119" s="109"/>
      <c r="G119" s="109"/>
      <c r="H119" s="109"/>
      <c r="I119" s="109"/>
      <c r="J119" s="109"/>
      <c r="K119" s="109" t="s">
        <v>127</v>
      </c>
      <c r="L119" s="109" t="s">
        <v>155</v>
      </c>
      <c r="M119" s="109"/>
      <c r="N119" s="109" t="s">
        <v>117</v>
      </c>
      <c r="O119" s="109"/>
      <c r="P119" s="109"/>
      <c r="Q119" s="109"/>
      <c r="R119" s="109"/>
      <c r="S119" s="109"/>
      <c r="T119" s="109"/>
      <c r="U119" s="109"/>
      <c r="V119" s="109"/>
      <c r="W119" s="109"/>
      <c r="X119" s="109"/>
      <c r="Y119" s="109"/>
      <c r="Z119" s="109"/>
      <c r="AA119" s="109"/>
      <c r="AB119" s="109"/>
      <c r="AC119" s="109"/>
      <c r="AD119" s="109"/>
      <c r="AE119" s="109"/>
      <c r="AF119" s="109"/>
      <c r="AG119" s="109"/>
      <c r="AH119" s="109"/>
      <c r="AI119" s="109"/>
      <c r="AJ119" s="109" t="s">
        <v>133</v>
      </c>
      <c r="AK119" s="109"/>
      <c r="AL119" s="109"/>
      <c r="AM119" s="109"/>
      <c r="AN119" s="111"/>
    </row>
    <row r="120" spans="1:40">
      <c r="A120" s="108">
        <v>72</v>
      </c>
      <c r="B120" s="109" t="s">
        <v>255</v>
      </c>
      <c r="C120" s="109" t="s">
        <v>109</v>
      </c>
      <c r="D120" s="109" t="s">
        <v>169</v>
      </c>
      <c r="E120" s="109"/>
      <c r="F120" s="109"/>
      <c r="G120" s="109"/>
      <c r="H120" s="109"/>
      <c r="I120" s="109"/>
      <c r="J120" s="109"/>
      <c r="K120" s="109" t="s">
        <v>114</v>
      </c>
      <c r="L120" s="109" t="s">
        <v>115</v>
      </c>
      <c r="M120" s="109"/>
      <c r="N120" s="109" t="s">
        <v>129</v>
      </c>
      <c r="O120" s="109"/>
      <c r="P120" s="109"/>
      <c r="Q120" s="109"/>
      <c r="R120" s="109"/>
      <c r="S120" s="109"/>
      <c r="T120" s="109"/>
      <c r="U120" s="109"/>
      <c r="V120" s="109"/>
      <c r="W120" s="109"/>
      <c r="X120" s="109"/>
      <c r="Y120" s="109"/>
      <c r="Z120" s="109"/>
      <c r="AA120" s="109"/>
      <c r="AB120" s="109"/>
      <c r="AC120" s="109"/>
      <c r="AD120" s="109"/>
      <c r="AE120" s="109"/>
      <c r="AF120" s="109"/>
      <c r="AG120" s="109"/>
      <c r="AH120" s="109"/>
      <c r="AI120" s="109"/>
      <c r="AJ120" s="109"/>
      <c r="AK120" s="109" t="s">
        <v>133</v>
      </c>
      <c r="AL120" s="109"/>
      <c r="AM120" s="109"/>
      <c r="AN120" s="111"/>
    </row>
    <row r="121" spans="1:40" ht="28.8">
      <c r="A121" s="108">
        <v>73</v>
      </c>
      <c r="B121" s="109" t="s">
        <v>256</v>
      </c>
      <c r="C121" s="109" t="s">
        <v>109</v>
      </c>
      <c r="D121" s="109" t="s">
        <v>169</v>
      </c>
      <c r="E121" s="109"/>
      <c r="F121" s="109"/>
      <c r="G121" s="109"/>
      <c r="H121" s="109"/>
      <c r="I121" s="109"/>
      <c r="J121" s="109"/>
      <c r="K121" s="109" t="s">
        <v>114</v>
      </c>
      <c r="L121" s="109" t="s">
        <v>143</v>
      </c>
      <c r="M121" s="109"/>
      <c r="N121" s="109" t="s">
        <v>117</v>
      </c>
      <c r="O121" s="109"/>
      <c r="P121" s="109"/>
      <c r="Q121" s="109"/>
      <c r="R121" s="109"/>
      <c r="S121" s="109"/>
      <c r="T121" s="109"/>
      <c r="U121" s="109"/>
      <c r="V121" s="109"/>
      <c r="W121" s="109"/>
      <c r="X121" s="109"/>
      <c r="Y121" s="109"/>
      <c r="Z121" s="109"/>
      <c r="AA121" s="109"/>
      <c r="AB121" s="109"/>
      <c r="AC121" s="109"/>
      <c r="AD121" s="109"/>
      <c r="AE121" s="109"/>
      <c r="AF121" s="109"/>
      <c r="AG121" s="109"/>
      <c r="AH121" s="109"/>
      <c r="AI121" s="109"/>
      <c r="AJ121" s="109"/>
      <c r="AK121" s="109"/>
      <c r="AL121" s="109" t="s">
        <v>133</v>
      </c>
      <c r="AM121" s="109"/>
      <c r="AN121" s="111"/>
    </row>
    <row r="122" spans="1:40" ht="28.8">
      <c r="A122" s="108">
        <v>74</v>
      </c>
      <c r="B122" s="109" t="s">
        <v>257</v>
      </c>
      <c r="C122" s="109" t="s">
        <v>109</v>
      </c>
      <c r="D122" s="109" t="s">
        <v>169</v>
      </c>
      <c r="E122" s="109"/>
      <c r="F122" s="109"/>
      <c r="G122" s="109"/>
      <c r="H122" s="109"/>
      <c r="I122" s="109"/>
      <c r="J122" s="109"/>
      <c r="K122" s="109" t="s">
        <v>114</v>
      </c>
      <c r="L122" s="109" t="s">
        <v>155</v>
      </c>
      <c r="M122" s="109"/>
      <c r="N122" s="109" t="s">
        <v>129</v>
      </c>
      <c r="O122" s="109"/>
      <c r="P122" s="109"/>
      <c r="Q122" s="109"/>
      <c r="R122" s="109"/>
      <c r="S122" s="109"/>
      <c r="T122" s="109"/>
      <c r="U122" s="109"/>
      <c r="V122" s="109"/>
      <c r="W122" s="109"/>
      <c r="X122" s="109"/>
      <c r="Y122" s="109"/>
      <c r="Z122" s="109"/>
      <c r="AA122" s="109"/>
      <c r="AB122" s="109"/>
      <c r="AC122" s="109"/>
      <c r="AD122" s="109"/>
      <c r="AE122" s="109"/>
      <c r="AF122" s="109"/>
      <c r="AG122" s="109"/>
      <c r="AH122" s="109"/>
      <c r="AI122" s="109"/>
      <c r="AJ122" s="109"/>
      <c r="AK122" s="109"/>
      <c r="AL122" s="109"/>
      <c r="AM122" s="109" t="s">
        <v>133</v>
      </c>
      <c r="AN122" s="111"/>
    </row>
    <row r="123" spans="1:40" ht="29.4" thickBot="1">
      <c r="A123" s="115">
        <v>75</v>
      </c>
      <c r="B123" s="116" t="s">
        <v>258</v>
      </c>
      <c r="C123" s="116" t="s">
        <v>109</v>
      </c>
      <c r="D123" s="116" t="s">
        <v>169</v>
      </c>
      <c r="E123" s="116"/>
      <c r="F123" s="116"/>
      <c r="G123" s="116"/>
      <c r="H123" s="116"/>
      <c r="I123" s="116"/>
      <c r="J123" s="116"/>
      <c r="K123" s="116" t="s">
        <v>127</v>
      </c>
      <c r="L123" s="116" t="s">
        <v>143</v>
      </c>
      <c r="M123" s="116"/>
      <c r="N123" s="116" t="s">
        <v>117</v>
      </c>
      <c r="O123" s="116"/>
      <c r="P123" s="116"/>
      <c r="Q123" s="116"/>
      <c r="R123" s="116"/>
      <c r="S123" s="116"/>
      <c r="T123" s="116"/>
      <c r="U123" s="116"/>
      <c r="V123" s="116"/>
      <c r="W123" s="116"/>
      <c r="X123" s="116"/>
      <c r="Y123" s="116"/>
      <c r="Z123" s="116"/>
      <c r="AA123" s="116"/>
      <c r="AB123" s="116"/>
      <c r="AC123" s="116"/>
      <c r="AD123" s="116"/>
      <c r="AE123" s="116"/>
      <c r="AF123" s="116"/>
      <c r="AG123" s="116"/>
      <c r="AH123" s="116"/>
      <c r="AI123" s="116"/>
      <c r="AJ123" s="116"/>
      <c r="AK123" s="116"/>
      <c r="AL123" s="116"/>
      <c r="AM123" s="116"/>
      <c r="AN123" s="117" t="s">
        <v>133</v>
      </c>
    </row>
  </sheetData>
  <mergeCells count="52">
    <mergeCell ref="M3:M4"/>
    <mergeCell ref="G3:G4"/>
    <mergeCell ref="H3:H4"/>
    <mergeCell ref="I3:I4"/>
    <mergeCell ref="D3:D4"/>
    <mergeCell ref="F3:F4"/>
    <mergeCell ref="J3:J4"/>
    <mergeCell ref="K3:K4"/>
    <mergeCell ref="L3:L4"/>
    <mergeCell ref="E3:E4"/>
    <mergeCell ref="AM3:AN3"/>
    <mergeCell ref="N3:N4"/>
    <mergeCell ref="O3:O4"/>
    <mergeCell ref="V3:V4"/>
    <mergeCell ref="Z3:Z4"/>
    <mergeCell ref="AJ3:AL3"/>
    <mergeCell ref="P3:R3"/>
    <mergeCell ref="S3:U3"/>
    <mergeCell ref="W3:Y3"/>
    <mergeCell ref="AA3:AB3"/>
    <mergeCell ref="AC3:AI3"/>
    <mergeCell ref="A1:C2"/>
    <mergeCell ref="A45:C46"/>
    <mergeCell ref="A47:A48"/>
    <mergeCell ref="B47:B48"/>
    <mergeCell ref="C47:C48"/>
    <mergeCell ref="A3:A4"/>
    <mergeCell ref="B3:B4"/>
    <mergeCell ref="C3:C4"/>
    <mergeCell ref="N47:N48"/>
    <mergeCell ref="D47:D48"/>
    <mergeCell ref="F47:F48"/>
    <mergeCell ref="G47:G48"/>
    <mergeCell ref="H47:H48"/>
    <mergeCell ref="I47:I48"/>
    <mergeCell ref="E47:E48"/>
    <mergeCell ref="AL47:AN47"/>
    <mergeCell ref="D45:G45"/>
    <mergeCell ref="X47:X48"/>
    <mergeCell ref="Y47:AA47"/>
    <mergeCell ref="AB47:AB48"/>
    <mergeCell ref="AC47:AD47"/>
    <mergeCell ref="AE47:AK47"/>
    <mergeCell ref="O47:O48"/>
    <mergeCell ref="P47:P48"/>
    <mergeCell ref="Q47:Q48"/>
    <mergeCell ref="R47:T47"/>
    <mergeCell ref="U47:W47"/>
    <mergeCell ref="J47:J48"/>
    <mergeCell ref="K47:K48"/>
    <mergeCell ref="L47:L48"/>
    <mergeCell ref="M47:M48"/>
  </mergeCells>
  <phoneticPr fontId="1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509C7-6BBC-4B46-8EAE-894B5584E1F1}">
  <sheetPr>
    <tabColor theme="7" tint="0.59999389629810485"/>
  </sheetPr>
  <dimension ref="A1:R320"/>
  <sheetViews>
    <sheetView topLeftCell="A314" zoomScale="70" zoomScaleNormal="70" workbookViewId="0">
      <selection activeCell="A320" sqref="A320"/>
    </sheetView>
  </sheetViews>
  <sheetFormatPr defaultColWidth="8.88671875" defaultRowHeight="14.4"/>
  <cols>
    <col min="1" max="1" width="5.33203125" style="75" customWidth="1"/>
    <col min="2" max="2" width="15.33203125" style="75" customWidth="1"/>
    <col min="3" max="3" width="14" style="93" customWidth="1"/>
    <col min="4" max="4" width="34.109375" style="71" customWidth="1"/>
    <col min="5" max="5" width="50.88671875" style="71" customWidth="1"/>
    <col min="6" max="6" width="111.33203125" style="71" customWidth="1"/>
    <col min="7" max="7" width="67.21875" style="71" customWidth="1"/>
    <col min="8" max="8" width="11" style="75" customWidth="1"/>
    <col min="9" max="9" width="25.88671875" style="75" customWidth="1"/>
    <col min="10" max="10" width="8.6640625" style="77" customWidth="1"/>
    <col min="11" max="11" width="9.21875" style="76" customWidth="1"/>
    <col min="12" max="12" width="16.88671875" style="76" customWidth="1"/>
    <col min="13" max="13" width="8.33203125" style="77" customWidth="1"/>
    <col min="14" max="14" width="12.33203125" style="77" customWidth="1"/>
    <col min="15" max="15" width="8.88671875" style="77" customWidth="1"/>
    <col min="16" max="16" width="9.33203125" style="78" customWidth="1"/>
    <col min="17" max="17" width="12.21875" style="77" customWidth="1"/>
    <col min="18" max="18" width="58.6640625" style="71" customWidth="1"/>
    <col min="19" max="16384" width="8.88671875" style="71"/>
  </cols>
  <sheetData>
    <row r="1" spans="1:18">
      <c r="A1" s="162" t="s">
        <v>259</v>
      </c>
      <c r="B1" s="162"/>
      <c r="C1" s="104"/>
      <c r="D1" s="70"/>
      <c r="E1" s="70"/>
      <c r="F1" s="70"/>
      <c r="G1" s="70"/>
      <c r="H1" s="103"/>
      <c r="I1" s="103"/>
      <c r="J1" s="71"/>
      <c r="K1" s="72"/>
      <c r="L1" s="72"/>
      <c r="M1" s="71"/>
      <c r="N1" s="71"/>
      <c r="O1" s="71"/>
      <c r="P1" s="71"/>
      <c r="Q1" s="71"/>
    </row>
    <row r="2" spans="1:18" ht="15" customHeight="1" thickBot="1">
      <c r="A2" s="162" t="s">
        <v>260</v>
      </c>
      <c r="B2" s="162"/>
      <c r="C2" s="162"/>
      <c r="D2" s="70"/>
      <c r="E2" s="70"/>
      <c r="F2" s="70"/>
      <c r="G2" s="70"/>
      <c r="H2" s="103"/>
      <c r="I2" s="103"/>
      <c r="J2" s="71"/>
      <c r="K2" s="72"/>
      <c r="L2" s="72"/>
      <c r="M2" s="71"/>
      <c r="N2" s="71"/>
      <c r="O2" s="71"/>
      <c r="P2" s="71"/>
      <c r="Q2" s="71"/>
    </row>
    <row r="3" spans="1:18" s="75" customFormat="1" ht="36" customHeight="1">
      <c r="A3" s="122" t="s">
        <v>0</v>
      </c>
      <c r="B3" s="123" t="s">
        <v>261</v>
      </c>
      <c r="C3" s="123" t="s">
        <v>262</v>
      </c>
      <c r="D3" s="123" t="s">
        <v>263</v>
      </c>
      <c r="E3" s="123" t="s">
        <v>264</v>
      </c>
      <c r="F3" s="123" t="s">
        <v>265</v>
      </c>
      <c r="G3" s="123" t="s">
        <v>266</v>
      </c>
      <c r="H3" s="123" t="s">
        <v>267</v>
      </c>
      <c r="I3" s="123" t="s">
        <v>1034</v>
      </c>
      <c r="J3" s="124" t="s">
        <v>268</v>
      </c>
      <c r="K3" s="125" t="s">
        <v>269</v>
      </c>
      <c r="L3" s="125" t="s">
        <v>270</v>
      </c>
      <c r="M3" s="126" t="s">
        <v>271</v>
      </c>
      <c r="N3" s="137" t="s">
        <v>272</v>
      </c>
      <c r="O3" s="73" t="s">
        <v>273</v>
      </c>
      <c r="P3" s="73" t="s">
        <v>267</v>
      </c>
      <c r="Q3" s="74" t="s">
        <v>274</v>
      </c>
    </row>
    <row r="4" spans="1:18" ht="80.25" customHeight="1" thickBot="1">
      <c r="A4" s="80">
        <v>1</v>
      </c>
      <c r="B4" s="120" t="s">
        <v>275</v>
      </c>
      <c r="C4" s="158" t="str">
        <f>'MATRIX KONTRAK'!B5</f>
        <v>BS001</v>
      </c>
      <c r="D4" s="92" t="s">
        <v>6</v>
      </c>
      <c r="E4" s="92" t="s">
        <v>276</v>
      </c>
      <c r="F4" s="92" t="s">
        <v>277</v>
      </c>
      <c r="G4" s="92" t="s">
        <v>278</v>
      </c>
      <c r="H4" s="120" t="str">
        <f>VLOOKUP(LEFT(B4,FIND("-",B4)-1),'MAPPING MD &amp; SKENARIO'!$H$2:$I$42,2,FALSE)</f>
        <v>Azhar</v>
      </c>
      <c r="I4" s="92" t="str">
        <f>VLOOKUP(H4,'MAPPING MD &amp; SKENARIO'!$I$2:$J$42,2,FALSE)</f>
        <v>azhar.azhar@muf.co.id</v>
      </c>
      <c r="J4" s="121">
        <f>VLOOKUP(D4,'MAPPING MD &amp; SKENARIO'!B:D,3,FALSE)</f>
        <v>1.3</v>
      </c>
      <c r="K4" s="121">
        <f>J4*50%</f>
        <v>0.65</v>
      </c>
      <c r="L4" s="121">
        <v>1</v>
      </c>
      <c r="M4" s="127">
        <f>ROUNDUP(SUM(J4:L4),0)</f>
        <v>3</v>
      </c>
      <c r="N4" s="138">
        <f>ROUNDUP(SUM(M4:M320),0)</f>
        <v>1132</v>
      </c>
      <c r="O4" s="132">
        <f>ROUNDUP(N4/6,0)</f>
        <v>189</v>
      </c>
      <c r="P4" s="132">
        <v>4</v>
      </c>
      <c r="Q4" s="133">
        <f>ROUNDUP(O4/P4,0)</f>
        <v>48</v>
      </c>
      <c r="R4" s="118"/>
    </row>
    <row r="5" spans="1:18" ht="64.2" customHeight="1">
      <c r="A5" s="80">
        <v>2</v>
      </c>
      <c r="B5" s="120" t="s">
        <v>279</v>
      </c>
      <c r="C5" s="158"/>
      <c r="D5" s="92" t="s">
        <v>8</v>
      </c>
      <c r="E5" s="92" t="s">
        <v>280</v>
      </c>
      <c r="F5" s="92" t="s">
        <v>281</v>
      </c>
      <c r="G5" s="92" t="s">
        <v>282</v>
      </c>
      <c r="H5" s="120" t="str">
        <f>VLOOKUP(LEFT(B5,FIND("-",B5)-1),'MAPPING MD &amp; SKENARIO'!$H$2:$I$42,2,FALSE)</f>
        <v>Azhar</v>
      </c>
      <c r="I5" s="92" t="str">
        <f>VLOOKUP(H5,'MAPPING MD &amp; SKENARIO'!$I$2:$J$42,2,FALSE)</f>
        <v>azhar.azhar@muf.co.id</v>
      </c>
      <c r="J5" s="121">
        <f>VLOOKUP(D5,'MAPPING MD &amp; SKENARIO'!B:D,3,FALSE)</f>
        <v>1.95</v>
      </c>
      <c r="K5" s="121">
        <f t="shared" ref="K5:K67" si="0">J5*50%</f>
        <v>0.97499999999999998</v>
      </c>
      <c r="L5" s="121">
        <v>1</v>
      </c>
      <c r="M5" s="127">
        <f t="shared" ref="M5:M68" si="1">ROUNDUP(SUM(J5:L5),0)</f>
        <v>4</v>
      </c>
      <c r="N5" s="119"/>
      <c r="O5" s="79"/>
      <c r="P5" s="79"/>
      <c r="Q5" s="79"/>
      <c r="R5" s="118"/>
    </row>
    <row r="6" spans="1:18" ht="57" customHeight="1">
      <c r="A6" s="80">
        <v>3</v>
      </c>
      <c r="B6" s="120" t="s">
        <v>283</v>
      </c>
      <c r="C6" s="158"/>
      <c r="D6" s="92" t="s">
        <v>10</v>
      </c>
      <c r="E6" s="92" t="s">
        <v>284</v>
      </c>
      <c r="F6" s="92" t="s">
        <v>285</v>
      </c>
      <c r="G6" s="92" t="s">
        <v>286</v>
      </c>
      <c r="H6" s="120" t="str">
        <f>VLOOKUP(LEFT(B6,FIND("-",B6)-1),'MAPPING MD &amp; SKENARIO'!$H$2:$I$42,2,FALSE)</f>
        <v>Azhar</v>
      </c>
      <c r="I6" s="92" t="str">
        <f>VLOOKUP(H6,'MAPPING MD &amp; SKENARIO'!$I$2:$J$42,2,FALSE)</f>
        <v>azhar.azhar@muf.co.id</v>
      </c>
      <c r="J6" s="121">
        <f>VLOOKUP(D6,'MAPPING MD &amp; SKENARIO'!B:D,3,FALSE)</f>
        <v>0.26</v>
      </c>
      <c r="K6" s="121">
        <f t="shared" si="0"/>
        <v>0.13</v>
      </c>
      <c r="L6" s="121">
        <v>1</v>
      </c>
      <c r="M6" s="127">
        <f t="shared" si="1"/>
        <v>2</v>
      </c>
      <c r="P6" s="79"/>
      <c r="Q6" s="79"/>
      <c r="R6" s="118"/>
    </row>
    <row r="7" spans="1:18" ht="121.5" customHeight="1">
      <c r="A7" s="80">
        <v>4</v>
      </c>
      <c r="B7" s="120" t="s">
        <v>287</v>
      </c>
      <c r="C7" s="158"/>
      <c r="D7" s="92" t="s">
        <v>12</v>
      </c>
      <c r="E7" s="92" t="s">
        <v>288</v>
      </c>
      <c r="F7" s="92" t="s">
        <v>289</v>
      </c>
      <c r="G7" s="92" t="s">
        <v>290</v>
      </c>
      <c r="H7" s="120" t="str">
        <f>VLOOKUP(LEFT(B7,FIND("-",B7)-1),'MAPPING MD &amp; SKENARIO'!$H$2:$I$42,2,FALSE)</f>
        <v>Azhar</v>
      </c>
      <c r="I7" s="92" t="str">
        <f>VLOOKUP(H7,'MAPPING MD &amp; SKENARIO'!$I$2:$J$42,2,FALSE)</f>
        <v>azhar.azhar@muf.co.id</v>
      </c>
      <c r="J7" s="121">
        <f>VLOOKUP(D7,'MAPPING MD &amp; SKENARIO'!B:D,3,FALSE)</f>
        <v>1.3</v>
      </c>
      <c r="K7" s="121">
        <f t="shared" si="0"/>
        <v>0.65</v>
      </c>
      <c r="L7" s="121">
        <v>1</v>
      </c>
      <c r="M7" s="127">
        <f t="shared" si="1"/>
        <v>3</v>
      </c>
      <c r="R7" s="118"/>
    </row>
    <row r="8" spans="1:18" ht="182.25" customHeight="1">
      <c r="A8" s="80">
        <v>5</v>
      </c>
      <c r="B8" s="120" t="s">
        <v>291</v>
      </c>
      <c r="C8" s="158"/>
      <c r="D8" s="92" t="s">
        <v>14</v>
      </c>
      <c r="E8" s="92" t="s">
        <v>292</v>
      </c>
      <c r="F8" s="92" t="s">
        <v>293</v>
      </c>
      <c r="G8" s="92" t="s">
        <v>294</v>
      </c>
      <c r="H8" s="120" t="str">
        <f>VLOOKUP(LEFT(B8,FIND("-",B8)-1),'MAPPING MD &amp; SKENARIO'!$H$2:$I$42,2,FALSE)</f>
        <v>Azhar</v>
      </c>
      <c r="I8" s="92" t="str">
        <f>VLOOKUP(H8,'MAPPING MD &amp; SKENARIO'!$I$2:$J$42,2,FALSE)</f>
        <v>azhar.azhar@muf.co.id</v>
      </c>
      <c r="J8" s="121">
        <f>VLOOKUP(D8,'MAPPING MD &amp; SKENARIO'!B:D,3,FALSE)</f>
        <v>2.6</v>
      </c>
      <c r="K8" s="121">
        <f t="shared" si="0"/>
        <v>1.3</v>
      </c>
      <c r="L8" s="121">
        <v>1</v>
      </c>
      <c r="M8" s="127">
        <f t="shared" si="1"/>
        <v>5</v>
      </c>
      <c r="R8" s="118"/>
    </row>
    <row r="9" spans="1:18" ht="144">
      <c r="A9" s="80">
        <v>6</v>
      </c>
      <c r="B9" s="120" t="s">
        <v>295</v>
      </c>
      <c r="C9" s="158"/>
      <c r="D9" s="92" t="s">
        <v>16</v>
      </c>
      <c r="E9" s="92" t="s">
        <v>296</v>
      </c>
      <c r="F9" s="92" t="s">
        <v>297</v>
      </c>
      <c r="G9" s="92" t="s">
        <v>298</v>
      </c>
      <c r="H9" s="120" t="str">
        <f>VLOOKUP(LEFT(B9,FIND("-",B9)-1),'MAPPING MD &amp; SKENARIO'!$H$2:$I$42,2,FALSE)</f>
        <v>Azhar</v>
      </c>
      <c r="I9" s="92" t="str">
        <f>VLOOKUP(H9,'MAPPING MD &amp; SKENARIO'!$I$2:$J$42,2,FALSE)</f>
        <v>azhar.azhar@muf.co.id</v>
      </c>
      <c r="J9" s="121">
        <f>VLOOKUP(D9,'MAPPING MD &amp; SKENARIO'!B:D,3,FALSE)</f>
        <v>1.3</v>
      </c>
      <c r="K9" s="121">
        <f t="shared" si="0"/>
        <v>0.65</v>
      </c>
      <c r="L9" s="121">
        <v>1</v>
      </c>
      <c r="M9" s="127">
        <f t="shared" si="1"/>
        <v>3</v>
      </c>
      <c r="R9" s="118"/>
    </row>
    <row r="10" spans="1:18" ht="72">
      <c r="A10" s="80">
        <v>7</v>
      </c>
      <c r="B10" s="120" t="s">
        <v>299</v>
      </c>
      <c r="C10" s="158"/>
      <c r="D10" s="92" t="s">
        <v>18</v>
      </c>
      <c r="E10" s="92" t="s">
        <v>300</v>
      </c>
      <c r="F10" s="92" t="s">
        <v>301</v>
      </c>
      <c r="G10" s="92" t="s">
        <v>302</v>
      </c>
      <c r="H10" s="120" t="str">
        <f>VLOOKUP(LEFT(B10,FIND("-",B10)-1),'MAPPING MD &amp; SKENARIO'!$H$2:$I$42,2,FALSE)</f>
        <v>Azhar</v>
      </c>
      <c r="I10" s="92" t="str">
        <f>VLOOKUP(H10,'MAPPING MD &amp; SKENARIO'!$I$2:$J$42,2,FALSE)</f>
        <v>azhar.azhar@muf.co.id</v>
      </c>
      <c r="J10" s="121">
        <f>VLOOKUP(D10,'MAPPING MD &amp; SKENARIO'!B:D,3,FALSE)</f>
        <v>2.6</v>
      </c>
      <c r="K10" s="121">
        <f t="shared" si="0"/>
        <v>1.3</v>
      </c>
      <c r="L10" s="121">
        <v>1</v>
      </c>
      <c r="M10" s="127">
        <f t="shared" si="1"/>
        <v>5</v>
      </c>
      <c r="R10" s="118"/>
    </row>
    <row r="11" spans="1:18" ht="57.6">
      <c r="A11" s="80">
        <v>8</v>
      </c>
      <c r="B11" s="120" t="s">
        <v>303</v>
      </c>
      <c r="C11" s="158"/>
      <c r="D11" s="92" t="s">
        <v>24</v>
      </c>
      <c r="E11" s="92" t="s">
        <v>304</v>
      </c>
      <c r="F11" s="92" t="s">
        <v>305</v>
      </c>
      <c r="G11" s="92" t="s">
        <v>306</v>
      </c>
      <c r="H11" s="120" t="str">
        <f>VLOOKUP(LEFT(B11,FIND("-",B11)-1),'MAPPING MD &amp; SKENARIO'!$H$2:$I$42,2,FALSE)</f>
        <v>Azhar</v>
      </c>
      <c r="I11" s="92" t="str">
        <f>VLOOKUP(H11,'MAPPING MD &amp; SKENARIO'!$I$2:$J$42,2,FALSE)</f>
        <v>azhar.azhar@muf.co.id</v>
      </c>
      <c r="J11" s="121">
        <f>VLOOKUP(D11,'MAPPING MD &amp; SKENARIO'!B:D,3,FALSE)</f>
        <v>0.65</v>
      </c>
      <c r="K11" s="121">
        <f t="shared" si="0"/>
        <v>0.32500000000000001</v>
      </c>
      <c r="L11" s="121">
        <v>1</v>
      </c>
      <c r="M11" s="127">
        <f t="shared" si="1"/>
        <v>2</v>
      </c>
      <c r="R11" s="118"/>
    </row>
    <row r="12" spans="1:18" ht="86.4">
      <c r="A12" s="80">
        <v>9</v>
      </c>
      <c r="B12" s="120" t="s">
        <v>307</v>
      </c>
      <c r="C12" s="158"/>
      <c r="D12" s="92" t="s">
        <v>26</v>
      </c>
      <c r="E12" s="92" t="s">
        <v>308</v>
      </c>
      <c r="F12" s="92" t="s">
        <v>309</v>
      </c>
      <c r="G12" s="92" t="s">
        <v>310</v>
      </c>
      <c r="H12" s="120" t="str">
        <f>VLOOKUP(LEFT(B12,FIND("-",B12)-1),'MAPPING MD &amp; SKENARIO'!$H$2:$I$42,2,FALSE)</f>
        <v>Azhar</v>
      </c>
      <c r="I12" s="92" t="str">
        <f>VLOOKUP(H12,'MAPPING MD &amp; SKENARIO'!$I$2:$J$42,2,FALSE)</f>
        <v>azhar.azhar@muf.co.id</v>
      </c>
      <c r="J12" s="121">
        <f>VLOOKUP(D12,'MAPPING MD &amp; SKENARIO'!B:D,3,FALSE)</f>
        <v>2.6</v>
      </c>
      <c r="K12" s="121">
        <f t="shared" si="0"/>
        <v>1.3</v>
      </c>
      <c r="L12" s="121">
        <v>1</v>
      </c>
      <c r="M12" s="127">
        <f t="shared" si="1"/>
        <v>5</v>
      </c>
      <c r="R12" s="118"/>
    </row>
    <row r="13" spans="1:18" ht="100.8">
      <c r="A13" s="80">
        <v>10</v>
      </c>
      <c r="B13" s="120" t="s">
        <v>311</v>
      </c>
      <c r="C13" s="158"/>
      <c r="D13" s="92" t="s">
        <v>28</v>
      </c>
      <c r="E13" s="92" t="s">
        <v>312</v>
      </c>
      <c r="F13" s="92" t="s">
        <v>313</v>
      </c>
      <c r="G13" s="92" t="s">
        <v>314</v>
      </c>
      <c r="H13" s="120" t="str">
        <f>VLOOKUP(LEFT(B13,FIND("-",B13)-1),'MAPPING MD &amp; SKENARIO'!$H$2:$I$42,2,FALSE)</f>
        <v>Azhar</v>
      </c>
      <c r="I13" s="92" t="str">
        <f>VLOOKUP(H13,'MAPPING MD &amp; SKENARIO'!$I$2:$J$42,2,FALSE)</f>
        <v>azhar.azhar@muf.co.id</v>
      </c>
      <c r="J13" s="121">
        <f>VLOOKUP(D13,'MAPPING MD &amp; SKENARIO'!B:D,3,FALSE)</f>
        <v>1.95</v>
      </c>
      <c r="K13" s="121">
        <f t="shared" si="0"/>
        <v>0.97499999999999998</v>
      </c>
      <c r="L13" s="121">
        <v>1</v>
      </c>
      <c r="M13" s="127">
        <f t="shared" si="1"/>
        <v>4</v>
      </c>
      <c r="R13" s="118"/>
    </row>
    <row r="14" spans="1:18" ht="51" customHeight="1">
      <c r="A14" s="80">
        <v>11</v>
      </c>
      <c r="B14" s="120" t="s">
        <v>315</v>
      </c>
      <c r="C14" s="158"/>
      <c r="D14" s="92" t="s">
        <v>30</v>
      </c>
      <c r="E14" s="92" t="s">
        <v>316</v>
      </c>
      <c r="F14" s="92" t="s">
        <v>317</v>
      </c>
      <c r="G14" s="92" t="s">
        <v>318</v>
      </c>
      <c r="H14" s="120" t="str">
        <f>VLOOKUP(LEFT(B14,FIND("-",B14)-1),'MAPPING MD &amp; SKENARIO'!$H$2:$I$42,2,FALSE)</f>
        <v>Azhar</v>
      </c>
      <c r="I14" s="92" t="str">
        <f>VLOOKUP(H14,'MAPPING MD &amp; SKENARIO'!$I$2:$J$42,2,FALSE)</f>
        <v>azhar.azhar@muf.co.id</v>
      </c>
      <c r="J14" s="121">
        <f>VLOOKUP(D14,'MAPPING MD &amp; SKENARIO'!B:D,3,FALSE)</f>
        <v>0.65</v>
      </c>
      <c r="K14" s="121">
        <f t="shared" si="0"/>
        <v>0.32500000000000001</v>
      </c>
      <c r="L14" s="121">
        <v>1</v>
      </c>
      <c r="M14" s="127">
        <f t="shared" si="1"/>
        <v>2</v>
      </c>
      <c r="R14" s="118"/>
    </row>
    <row r="15" spans="1:18" ht="43.2">
      <c r="A15" s="80">
        <v>12</v>
      </c>
      <c r="B15" s="120" t="s">
        <v>319</v>
      </c>
      <c r="C15" s="158"/>
      <c r="D15" s="92" t="s">
        <v>32</v>
      </c>
      <c r="E15" s="92" t="s">
        <v>320</v>
      </c>
      <c r="F15" s="92" t="s">
        <v>321</v>
      </c>
      <c r="G15" s="92" t="s">
        <v>322</v>
      </c>
      <c r="H15" s="120" t="str">
        <f>VLOOKUP(LEFT(B15,FIND("-",B15)-1),'MAPPING MD &amp; SKENARIO'!$H$2:$I$42,2,FALSE)</f>
        <v>Azhar</v>
      </c>
      <c r="I15" s="92" t="str">
        <f>VLOOKUP(H15,'MAPPING MD &amp; SKENARIO'!$I$2:$J$42,2,FALSE)</f>
        <v>azhar.azhar@muf.co.id</v>
      </c>
      <c r="J15" s="121">
        <f>VLOOKUP(D15,'MAPPING MD &amp; SKENARIO'!B:D,3,FALSE)</f>
        <v>0.65</v>
      </c>
      <c r="K15" s="121">
        <f t="shared" si="0"/>
        <v>0.32500000000000001</v>
      </c>
      <c r="L15" s="121">
        <v>1</v>
      </c>
      <c r="M15" s="127">
        <f t="shared" si="1"/>
        <v>2</v>
      </c>
      <c r="R15" s="118"/>
    </row>
    <row r="16" spans="1:18" ht="72">
      <c r="A16" s="80">
        <v>13</v>
      </c>
      <c r="B16" s="120" t="s">
        <v>323</v>
      </c>
      <c r="C16" s="158" t="s">
        <v>123</v>
      </c>
      <c r="D16" s="92" t="s">
        <v>6</v>
      </c>
      <c r="E16" s="92" t="s">
        <v>276</v>
      </c>
      <c r="F16" s="92" t="s">
        <v>277</v>
      </c>
      <c r="G16" s="92" t="s">
        <v>278</v>
      </c>
      <c r="H16" s="120" t="str">
        <f>VLOOKUP(LEFT(B16,FIND("-",B16)-1),'MAPPING MD &amp; SKENARIO'!$H$2:$I$42,2,FALSE)</f>
        <v>Affinia</v>
      </c>
      <c r="I16" s="92" t="str">
        <f>VLOOKUP(H16,'MAPPING MD &amp; SKENARIO'!$I$2:$J$42,2,FALSE)</f>
        <v>affinia.by@muf.co.id</v>
      </c>
      <c r="J16" s="121">
        <f>VLOOKUP(D16,'MAPPING MD &amp; SKENARIO'!B:D,3,FALSE)</f>
        <v>1.3</v>
      </c>
      <c r="K16" s="121">
        <f t="shared" si="0"/>
        <v>0.65</v>
      </c>
      <c r="L16" s="121">
        <v>1</v>
      </c>
      <c r="M16" s="127">
        <f t="shared" si="1"/>
        <v>3</v>
      </c>
      <c r="R16" s="118"/>
    </row>
    <row r="17" spans="1:18" ht="57.6">
      <c r="A17" s="80">
        <v>14</v>
      </c>
      <c r="B17" s="120" t="s">
        <v>324</v>
      </c>
      <c r="C17" s="158"/>
      <c r="D17" s="92" t="s">
        <v>8</v>
      </c>
      <c r="E17" s="92" t="s">
        <v>280</v>
      </c>
      <c r="F17" s="92" t="s">
        <v>281</v>
      </c>
      <c r="G17" s="92" t="s">
        <v>282</v>
      </c>
      <c r="H17" s="120" t="str">
        <f>VLOOKUP(LEFT(B17,FIND("-",B17)-1),'MAPPING MD &amp; SKENARIO'!$H$2:$I$42,2,FALSE)</f>
        <v>Affinia</v>
      </c>
      <c r="I17" s="92" t="str">
        <f>VLOOKUP(H17,'MAPPING MD &amp; SKENARIO'!$I$2:$J$42,2,FALSE)</f>
        <v>affinia.by@muf.co.id</v>
      </c>
      <c r="J17" s="121">
        <f>VLOOKUP(D17,'MAPPING MD &amp; SKENARIO'!B:D,3,FALSE)</f>
        <v>1.95</v>
      </c>
      <c r="K17" s="121">
        <f t="shared" si="0"/>
        <v>0.97499999999999998</v>
      </c>
      <c r="L17" s="121">
        <v>1</v>
      </c>
      <c r="M17" s="127">
        <f t="shared" si="1"/>
        <v>4</v>
      </c>
      <c r="R17" s="118"/>
    </row>
    <row r="18" spans="1:18" ht="43.2">
      <c r="A18" s="80">
        <v>15</v>
      </c>
      <c r="B18" s="120" t="s">
        <v>325</v>
      </c>
      <c r="C18" s="158"/>
      <c r="D18" s="92" t="s">
        <v>10</v>
      </c>
      <c r="E18" s="92" t="s">
        <v>284</v>
      </c>
      <c r="F18" s="92" t="s">
        <v>285</v>
      </c>
      <c r="G18" s="92" t="s">
        <v>286</v>
      </c>
      <c r="H18" s="120" t="str">
        <f>VLOOKUP(LEFT(B18,FIND("-",B18)-1),'MAPPING MD &amp; SKENARIO'!$H$2:$I$42,2,FALSE)</f>
        <v>Affinia</v>
      </c>
      <c r="I18" s="92" t="str">
        <f>VLOOKUP(H18,'MAPPING MD &amp; SKENARIO'!$I$2:$J$42,2,FALSE)</f>
        <v>affinia.by@muf.co.id</v>
      </c>
      <c r="J18" s="121">
        <f>VLOOKUP(D18,'MAPPING MD &amp; SKENARIO'!B:D,3,FALSE)</f>
        <v>0.26</v>
      </c>
      <c r="K18" s="121">
        <f t="shared" si="0"/>
        <v>0.13</v>
      </c>
      <c r="L18" s="121">
        <v>1</v>
      </c>
      <c r="M18" s="127">
        <f t="shared" si="1"/>
        <v>2</v>
      </c>
      <c r="R18" s="118"/>
    </row>
    <row r="19" spans="1:18" ht="115.2">
      <c r="A19" s="80">
        <v>16</v>
      </c>
      <c r="B19" s="120" t="s">
        <v>326</v>
      </c>
      <c r="C19" s="158"/>
      <c r="D19" s="92" t="s">
        <v>12</v>
      </c>
      <c r="E19" s="92" t="s">
        <v>327</v>
      </c>
      <c r="F19" s="92" t="s">
        <v>328</v>
      </c>
      <c r="G19" s="92" t="s">
        <v>290</v>
      </c>
      <c r="H19" s="120" t="str">
        <f>VLOOKUP(LEFT(B19,FIND("-",B19)-1),'MAPPING MD &amp; SKENARIO'!$H$2:$I$42,2,FALSE)</f>
        <v>Affinia</v>
      </c>
      <c r="I19" s="92" t="str">
        <f>VLOOKUP(H19,'MAPPING MD &amp; SKENARIO'!$I$2:$J$42,2,FALSE)</f>
        <v>affinia.by@muf.co.id</v>
      </c>
      <c r="J19" s="121">
        <f>VLOOKUP(D19,'MAPPING MD &amp; SKENARIO'!B:D,3,FALSE)</f>
        <v>1.3</v>
      </c>
      <c r="K19" s="121">
        <f t="shared" si="0"/>
        <v>0.65</v>
      </c>
      <c r="L19" s="121">
        <v>1</v>
      </c>
      <c r="M19" s="127">
        <f t="shared" si="1"/>
        <v>3</v>
      </c>
      <c r="R19" s="118"/>
    </row>
    <row r="20" spans="1:18" ht="158.4">
      <c r="A20" s="80">
        <v>17</v>
      </c>
      <c r="B20" s="120" t="s">
        <v>329</v>
      </c>
      <c r="C20" s="158"/>
      <c r="D20" s="92" t="s">
        <v>14</v>
      </c>
      <c r="E20" s="92" t="s">
        <v>330</v>
      </c>
      <c r="F20" s="92" t="s">
        <v>293</v>
      </c>
      <c r="G20" s="92" t="s">
        <v>294</v>
      </c>
      <c r="H20" s="120" t="str">
        <f>VLOOKUP(LEFT(B20,FIND("-",B20)-1),'MAPPING MD &amp; SKENARIO'!$H$2:$I$42,2,FALSE)</f>
        <v>Affinia</v>
      </c>
      <c r="I20" s="92" t="str">
        <f>VLOOKUP(H20,'MAPPING MD &amp; SKENARIO'!$I$2:$J$42,2,FALSE)</f>
        <v>affinia.by@muf.co.id</v>
      </c>
      <c r="J20" s="121">
        <f>VLOOKUP(D20,'MAPPING MD &amp; SKENARIO'!B:D,3,FALSE)</f>
        <v>2.6</v>
      </c>
      <c r="K20" s="121">
        <f t="shared" si="0"/>
        <v>1.3</v>
      </c>
      <c r="L20" s="121">
        <v>1</v>
      </c>
      <c r="M20" s="127">
        <f t="shared" si="1"/>
        <v>5</v>
      </c>
      <c r="R20" s="118"/>
    </row>
    <row r="21" spans="1:18" ht="144">
      <c r="A21" s="80">
        <v>18</v>
      </c>
      <c r="B21" s="120" t="s">
        <v>331</v>
      </c>
      <c r="C21" s="158"/>
      <c r="D21" s="92" t="s">
        <v>20</v>
      </c>
      <c r="E21" s="92" t="s">
        <v>332</v>
      </c>
      <c r="F21" s="92" t="s">
        <v>333</v>
      </c>
      <c r="G21" s="92" t="s">
        <v>334</v>
      </c>
      <c r="H21" s="120" t="str">
        <f>VLOOKUP(LEFT(B21,FIND("-",B21)-1),'MAPPING MD &amp; SKENARIO'!$H$2:$I$42,2,FALSE)</f>
        <v>Affinia</v>
      </c>
      <c r="I21" s="92" t="str">
        <f>VLOOKUP(H21,'MAPPING MD &amp; SKENARIO'!$I$2:$J$42,2,FALSE)</f>
        <v>affinia.by@muf.co.id</v>
      </c>
      <c r="J21" s="121">
        <f>VLOOKUP(D21,'MAPPING MD &amp; SKENARIO'!B:D,3,FALSE)</f>
        <v>1.3</v>
      </c>
      <c r="K21" s="121">
        <f t="shared" si="0"/>
        <v>0.65</v>
      </c>
      <c r="L21" s="121">
        <v>1</v>
      </c>
      <c r="M21" s="127">
        <f t="shared" si="1"/>
        <v>3</v>
      </c>
      <c r="R21" s="118"/>
    </row>
    <row r="22" spans="1:18" ht="100.8">
      <c r="A22" s="80">
        <v>19</v>
      </c>
      <c r="B22" s="120" t="s">
        <v>335</v>
      </c>
      <c r="C22" s="158"/>
      <c r="D22" s="92" t="s">
        <v>22</v>
      </c>
      <c r="E22" s="92" t="s">
        <v>336</v>
      </c>
      <c r="F22" s="92" t="s">
        <v>337</v>
      </c>
      <c r="G22" s="92" t="s">
        <v>338</v>
      </c>
      <c r="H22" s="120" t="str">
        <f>VLOOKUP(LEFT(B22,FIND("-",B22)-1),'MAPPING MD &amp; SKENARIO'!$H$2:$I$42,2,FALSE)</f>
        <v>Affinia</v>
      </c>
      <c r="I22" s="92" t="str">
        <f>VLOOKUP(H22,'MAPPING MD &amp; SKENARIO'!$I$2:$J$42,2,FALSE)</f>
        <v>affinia.by@muf.co.id</v>
      </c>
      <c r="J22" s="121">
        <f>VLOOKUP(D22,'MAPPING MD &amp; SKENARIO'!B:D,3,FALSE)</f>
        <v>1.3</v>
      </c>
      <c r="K22" s="121">
        <f t="shared" si="0"/>
        <v>0.65</v>
      </c>
      <c r="L22" s="121">
        <v>1</v>
      </c>
      <c r="M22" s="127">
        <f t="shared" si="1"/>
        <v>3</v>
      </c>
      <c r="R22" s="118"/>
    </row>
    <row r="23" spans="1:18" ht="70.5" customHeight="1">
      <c r="A23" s="80">
        <v>20</v>
      </c>
      <c r="B23" s="120" t="s">
        <v>339</v>
      </c>
      <c r="C23" s="158"/>
      <c r="D23" s="92" t="s">
        <v>34</v>
      </c>
      <c r="E23" s="92" t="s">
        <v>340</v>
      </c>
      <c r="F23" s="92" t="s">
        <v>341</v>
      </c>
      <c r="G23" s="92" t="s">
        <v>342</v>
      </c>
      <c r="H23" s="120" t="str">
        <f>VLOOKUP(LEFT(B23,FIND("-",B23)-1),'MAPPING MD &amp; SKENARIO'!$H$2:$I$42,2,FALSE)</f>
        <v>Affinia</v>
      </c>
      <c r="I23" s="92" t="str">
        <f>VLOOKUP(H23,'MAPPING MD &amp; SKENARIO'!$I$2:$J$42,2,FALSE)</f>
        <v>affinia.by@muf.co.id</v>
      </c>
      <c r="J23" s="121">
        <f>VLOOKUP(D23,'MAPPING MD &amp; SKENARIO'!B:D,3,FALSE)</f>
        <v>1.95</v>
      </c>
      <c r="K23" s="121">
        <f t="shared" si="0"/>
        <v>0.97499999999999998</v>
      </c>
      <c r="L23" s="121">
        <v>1</v>
      </c>
      <c r="M23" s="127">
        <f t="shared" si="1"/>
        <v>4</v>
      </c>
      <c r="R23" s="118"/>
    </row>
    <row r="24" spans="1:18" ht="72">
      <c r="A24" s="80">
        <v>21</v>
      </c>
      <c r="B24" s="120" t="s">
        <v>343</v>
      </c>
      <c r="C24" s="158"/>
      <c r="D24" s="92" t="s">
        <v>18</v>
      </c>
      <c r="E24" s="92" t="s">
        <v>344</v>
      </c>
      <c r="F24" s="92" t="s">
        <v>345</v>
      </c>
      <c r="G24" s="92" t="s">
        <v>346</v>
      </c>
      <c r="H24" s="120" t="str">
        <f>VLOOKUP(LEFT(B24,FIND("-",B24)-1),'MAPPING MD &amp; SKENARIO'!$H$2:$I$42,2,FALSE)</f>
        <v>Affinia</v>
      </c>
      <c r="I24" s="92" t="str">
        <f>VLOOKUP(H24,'MAPPING MD &amp; SKENARIO'!$I$2:$J$42,2,FALSE)</f>
        <v>affinia.by@muf.co.id</v>
      </c>
      <c r="J24" s="121">
        <f>VLOOKUP(D24,'MAPPING MD &amp; SKENARIO'!B:D,3,FALSE)</f>
        <v>2.6</v>
      </c>
      <c r="K24" s="121">
        <f t="shared" si="0"/>
        <v>1.3</v>
      </c>
      <c r="L24" s="121">
        <v>1</v>
      </c>
      <c r="M24" s="127">
        <f t="shared" si="1"/>
        <v>5</v>
      </c>
      <c r="R24" s="118"/>
    </row>
    <row r="25" spans="1:18" s="77" customFormat="1" ht="67.5" customHeight="1">
      <c r="A25" s="80">
        <v>22</v>
      </c>
      <c r="B25" s="120" t="s">
        <v>347</v>
      </c>
      <c r="C25" s="158"/>
      <c r="D25" s="92" t="s">
        <v>38</v>
      </c>
      <c r="E25" s="92" t="s">
        <v>348</v>
      </c>
      <c r="F25" s="92" t="s">
        <v>349</v>
      </c>
      <c r="G25" s="92" t="s">
        <v>350</v>
      </c>
      <c r="H25" s="120" t="str">
        <f>VLOOKUP(LEFT(B25,FIND("-",B25)-1),'MAPPING MD &amp; SKENARIO'!$H$2:$I$42,2,FALSE)</f>
        <v>Affinia</v>
      </c>
      <c r="I25" s="92" t="str">
        <f>VLOOKUP(H25,'MAPPING MD &amp; SKENARIO'!$I$2:$J$42,2,FALSE)</f>
        <v>affinia.by@muf.co.id</v>
      </c>
      <c r="J25" s="121">
        <f>VLOOKUP(D25,'MAPPING MD &amp; SKENARIO'!B:D,3,FALSE)</f>
        <v>1.95</v>
      </c>
      <c r="K25" s="121">
        <f t="shared" si="0"/>
        <v>0.97499999999999998</v>
      </c>
      <c r="L25" s="121">
        <v>1</v>
      </c>
      <c r="M25" s="127">
        <f t="shared" si="1"/>
        <v>4</v>
      </c>
      <c r="P25" s="78"/>
      <c r="R25" s="118"/>
    </row>
    <row r="26" spans="1:18" s="77" customFormat="1" ht="79.5" customHeight="1">
      <c r="A26" s="80">
        <v>23</v>
      </c>
      <c r="B26" s="120" t="s">
        <v>351</v>
      </c>
      <c r="C26" s="158"/>
      <c r="D26" s="92" t="s">
        <v>8</v>
      </c>
      <c r="E26" s="92" t="s">
        <v>280</v>
      </c>
      <c r="F26" s="92" t="s">
        <v>352</v>
      </c>
      <c r="G26" s="92" t="s">
        <v>353</v>
      </c>
      <c r="H26" s="120" t="str">
        <f>VLOOKUP(LEFT(B26,FIND("-",B26)-1),'MAPPING MD &amp; SKENARIO'!$H$2:$I$42,2,FALSE)</f>
        <v>Affinia</v>
      </c>
      <c r="I26" s="92" t="str">
        <f>VLOOKUP(H26,'MAPPING MD &amp; SKENARIO'!$I$2:$J$42,2,FALSE)</f>
        <v>affinia.by@muf.co.id</v>
      </c>
      <c r="J26" s="121">
        <f>VLOOKUP(D26,'MAPPING MD &amp; SKENARIO'!B:D,3,FALSE)</f>
        <v>1.95</v>
      </c>
      <c r="K26" s="121">
        <f t="shared" si="0"/>
        <v>0.97499999999999998</v>
      </c>
      <c r="L26" s="121">
        <v>1</v>
      </c>
      <c r="M26" s="127">
        <f t="shared" si="1"/>
        <v>4</v>
      </c>
      <c r="P26" s="78"/>
      <c r="R26" s="118"/>
    </row>
    <row r="27" spans="1:18" s="77" customFormat="1" ht="72">
      <c r="A27" s="80">
        <v>24</v>
      </c>
      <c r="B27" s="120" t="s">
        <v>354</v>
      </c>
      <c r="C27" s="158"/>
      <c r="D27" s="92" t="s">
        <v>18</v>
      </c>
      <c r="E27" s="92" t="s">
        <v>344</v>
      </c>
      <c r="F27" s="92" t="s">
        <v>301</v>
      </c>
      <c r="G27" s="92" t="s">
        <v>302</v>
      </c>
      <c r="H27" s="120" t="str">
        <f>VLOOKUP(LEFT(B27,FIND("-",B27)-1),'MAPPING MD &amp; SKENARIO'!$H$2:$I$42,2,FALSE)</f>
        <v>Affinia</v>
      </c>
      <c r="I27" s="92" t="str">
        <f>VLOOKUP(H27,'MAPPING MD &amp; SKENARIO'!$I$2:$J$42,2,FALSE)</f>
        <v>affinia.by@muf.co.id</v>
      </c>
      <c r="J27" s="121">
        <f>VLOOKUP(D27,'MAPPING MD &amp; SKENARIO'!B:D,3,FALSE)</f>
        <v>2.6</v>
      </c>
      <c r="K27" s="121">
        <f t="shared" si="0"/>
        <v>1.3</v>
      </c>
      <c r="L27" s="121">
        <v>1</v>
      </c>
      <c r="M27" s="127">
        <f t="shared" si="1"/>
        <v>5</v>
      </c>
      <c r="P27" s="78"/>
      <c r="R27" s="118"/>
    </row>
    <row r="28" spans="1:18" s="77" customFormat="1" ht="57.6">
      <c r="A28" s="80">
        <v>25</v>
      </c>
      <c r="B28" s="120" t="s">
        <v>355</v>
      </c>
      <c r="C28" s="158"/>
      <c r="D28" s="92" t="s">
        <v>24</v>
      </c>
      <c r="E28" s="92" t="s">
        <v>304</v>
      </c>
      <c r="F28" s="92" t="s">
        <v>305</v>
      </c>
      <c r="G28" s="92" t="s">
        <v>306</v>
      </c>
      <c r="H28" s="120" t="str">
        <f>VLOOKUP(LEFT(B28,FIND("-",B28)-1),'MAPPING MD &amp; SKENARIO'!$H$2:$I$42,2,FALSE)</f>
        <v>Affinia</v>
      </c>
      <c r="I28" s="92" t="str">
        <f>VLOOKUP(H28,'MAPPING MD &amp; SKENARIO'!$I$2:$J$42,2,FALSE)</f>
        <v>affinia.by@muf.co.id</v>
      </c>
      <c r="J28" s="121">
        <f>VLOOKUP(D28,'MAPPING MD &amp; SKENARIO'!B:D,3,FALSE)</f>
        <v>0.65</v>
      </c>
      <c r="K28" s="121">
        <f t="shared" si="0"/>
        <v>0.32500000000000001</v>
      </c>
      <c r="L28" s="121">
        <v>1</v>
      </c>
      <c r="M28" s="127">
        <f t="shared" si="1"/>
        <v>2</v>
      </c>
      <c r="P28" s="78"/>
      <c r="R28" s="118"/>
    </row>
    <row r="29" spans="1:18" s="77" customFormat="1" ht="86.4">
      <c r="A29" s="80">
        <v>26</v>
      </c>
      <c r="B29" s="120" t="s">
        <v>356</v>
      </c>
      <c r="C29" s="158"/>
      <c r="D29" s="92" t="s">
        <v>26</v>
      </c>
      <c r="E29" s="92" t="s">
        <v>308</v>
      </c>
      <c r="F29" s="92" t="s">
        <v>309</v>
      </c>
      <c r="G29" s="92" t="s">
        <v>310</v>
      </c>
      <c r="H29" s="120" t="str">
        <f>VLOOKUP(LEFT(B29,FIND("-",B29)-1),'MAPPING MD &amp; SKENARIO'!$H$2:$I$42,2,FALSE)</f>
        <v>Affinia</v>
      </c>
      <c r="I29" s="92" t="str">
        <f>VLOOKUP(H29,'MAPPING MD &amp; SKENARIO'!$I$2:$J$42,2,FALSE)</f>
        <v>affinia.by@muf.co.id</v>
      </c>
      <c r="J29" s="121">
        <f>VLOOKUP(D29,'MAPPING MD &amp; SKENARIO'!B:D,3,FALSE)</f>
        <v>2.6</v>
      </c>
      <c r="K29" s="121">
        <f t="shared" si="0"/>
        <v>1.3</v>
      </c>
      <c r="L29" s="121">
        <v>1</v>
      </c>
      <c r="M29" s="127">
        <f t="shared" si="1"/>
        <v>5</v>
      </c>
      <c r="P29" s="78"/>
      <c r="R29" s="118"/>
    </row>
    <row r="30" spans="1:18" s="77" customFormat="1" ht="100.8">
      <c r="A30" s="80">
        <v>27</v>
      </c>
      <c r="B30" s="120" t="s">
        <v>357</v>
      </c>
      <c r="C30" s="158"/>
      <c r="D30" s="92" t="s">
        <v>28</v>
      </c>
      <c r="E30" s="92" t="s">
        <v>312</v>
      </c>
      <c r="F30" s="92" t="s">
        <v>313</v>
      </c>
      <c r="G30" s="92" t="s">
        <v>314</v>
      </c>
      <c r="H30" s="120" t="str">
        <f>VLOOKUP(LEFT(B30,FIND("-",B30)-1),'MAPPING MD &amp; SKENARIO'!$H$2:$I$42,2,FALSE)</f>
        <v>Affinia</v>
      </c>
      <c r="I30" s="92" t="str">
        <f>VLOOKUP(H30,'MAPPING MD &amp; SKENARIO'!$I$2:$J$42,2,FALSE)</f>
        <v>affinia.by@muf.co.id</v>
      </c>
      <c r="J30" s="121">
        <f>VLOOKUP(D30,'MAPPING MD &amp; SKENARIO'!B:D,3,FALSE)</f>
        <v>1.95</v>
      </c>
      <c r="K30" s="121">
        <f t="shared" si="0"/>
        <v>0.97499999999999998</v>
      </c>
      <c r="L30" s="121">
        <v>1</v>
      </c>
      <c r="M30" s="127">
        <f t="shared" si="1"/>
        <v>4</v>
      </c>
      <c r="P30" s="78"/>
      <c r="R30" s="118"/>
    </row>
    <row r="31" spans="1:18" s="77" customFormat="1" ht="37.5" customHeight="1">
      <c r="A31" s="80">
        <v>28</v>
      </c>
      <c r="B31" s="120" t="s">
        <v>358</v>
      </c>
      <c r="C31" s="158"/>
      <c r="D31" s="92" t="s">
        <v>30</v>
      </c>
      <c r="E31" s="92" t="s">
        <v>316</v>
      </c>
      <c r="F31" s="92" t="s">
        <v>317</v>
      </c>
      <c r="G31" s="92" t="s">
        <v>318</v>
      </c>
      <c r="H31" s="120" t="str">
        <f>VLOOKUP(LEFT(B31,FIND("-",B31)-1),'MAPPING MD &amp; SKENARIO'!$H$2:$I$42,2,FALSE)</f>
        <v>Affinia</v>
      </c>
      <c r="I31" s="92" t="str">
        <f>VLOOKUP(H31,'MAPPING MD &amp; SKENARIO'!$I$2:$J$42,2,FALSE)</f>
        <v>affinia.by@muf.co.id</v>
      </c>
      <c r="J31" s="121">
        <f>VLOOKUP(D31,'MAPPING MD &amp; SKENARIO'!B:D,3,FALSE)</f>
        <v>0.65</v>
      </c>
      <c r="K31" s="121">
        <f t="shared" si="0"/>
        <v>0.32500000000000001</v>
      </c>
      <c r="L31" s="121">
        <v>1</v>
      </c>
      <c r="M31" s="127">
        <f t="shared" si="1"/>
        <v>2</v>
      </c>
      <c r="P31" s="78"/>
      <c r="R31" s="118"/>
    </row>
    <row r="32" spans="1:18" s="77" customFormat="1" ht="43.2">
      <c r="A32" s="80">
        <v>29</v>
      </c>
      <c r="B32" s="120" t="s">
        <v>359</v>
      </c>
      <c r="C32" s="158"/>
      <c r="D32" s="92" t="s">
        <v>32</v>
      </c>
      <c r="E32" s="92" t="s">
        <v>320</v>
      </c>
      <c r="F32" s="92" t="s">
        <v>321</v>
      </c>
      <c r="G32" s="92" t="s">
        <v>322</v>
      </c>
      <c r="H32" s="120" t="str">
        <f>VLOOKUP(LEFT(B32,FIND("-",B32)-1),'MAPPING MD &amp; SKENARIO'!$H$2:$I$42,2,FALSE)</f>
        <v>Affinia</v>
      </c>
      <c r="I32" s="92" t="str">
        <f>VLOOKUP(H32,'MAPPING MD &amp; SKENARIO'!$I$2:$J$42,2,FALSE)</f>
        <v>affinia.by@muf.co.id</v>
      </c>
      <c r="J32" s="121">
        <f>VLOOKUP(D32,'MAPPING MD &amp; SKENARIO'!B:D,3,FALSE)</f>
        <v>0.65</v>
      </c>
      <c r="K32" s="121">
        <f t="shared" si="0"/>
        <v>0.32500000000000001</v>
      </c>
      <c r="L32" s="121">
        <v>1</v>
      </c>
      <c r="M32" s="127">
        <f t="shared" si="1"/>
        <v>2</v>
      </c>
      <c r="P32" s="78"/>
      <c r="R32" s="118"/>
    </row>
    <row r="33" spans="1:18" s="77" customFormat="1" ht="72">
      <c r="A33" s="80">
        <v>30</v>
      </c>
      <c r="B33" s="120" t="s">
        <v>360</v>
      </c>
      <c r="C33" s="158" t="s">
        <v>135</v>
      </c>
      <c r="D33" s="92" t="s">
        <v>6</v>
      </c>
      <c r="E33" s="92" t="s">
        <v>276</v>
      </c>
      <c r="F33" s="92" t="s">
        <v>277</v>
      </c>
      <c r="G33" s="92" t="s">
        <v>278</v>
      </c>
      <c r="H33" s="120" t="str">
        <f>VLOOKUP(LEFT(B33,FIND("-",B33)-1),'MAPPING MD &amp; SKENARIO'!$H$2:$I$42,2,FALSE)</f>
        <v>Kevin</v>
      </c>
      <c r="I33" s="92" t="str">
        <f>VLOOKUP(H33,'MAPPING MD &amp; SKENARIO'!$I$2:$J$42,2,FALSE)</f>
        <v>kevin.hardianus@muf.co.id</v>
      </c>
      <c r="J33" s="121">
        <f>VLOOKUP(D33,'MAPPING MD &amp; SKENARIO'!B:D,3,FALSE)</f>
        <v>1.3</v>
      </c>
      <c r="K33" s="121">
        <f t="shared" si="0"/>
        <v>0.65</v>
      </c>
      <c r="L33" s="121">
        <v>1</v>
      </c>
      <c r="M33" s="127">
        <f t="shared" si="1"/>
        <v>3</v>
      </c>
      <c r="P33" s="78"/>
      <c r="R33" s="118"/>
    </row>
    <row r="34" spans="1:18" s="77" customFormat="1" ht="57.6">
      <c r="A34" s="80">
        <v>31</v>
      </c>
      <c r="B34" s="120" t="s">
        <v>361</v>
      </c>
      <c r="C34" s="158"/>
      <c r="D34" s="92" t="s">
        <v>8</v>
      </c>
      <c r="E34" s="92" t="s">
        <v>280</v>
      </c>
      <c r="F34" s="92" t="s">
        <v>281</v>
      </c>
      <c r="G34" s="92" t="s">
        <v>282</v>
      </c>
      <c r="H34" s="120" t="str">
        <f>VLOOKUP(LEFT(B34,FIND("-",B34)-1),'MAPPING MD &amp; SKENARIO'!$H$2:$I$42,2,FALSE)</f>
        <v>Kevin</v>
      </c>
      <c r="I34" s="92" t="str">
        <f>VLOOKUP(H34,'MAPPING MD &amp; SKENARIO'!$I$2:$J$42,2,FALSE)</f>
        <v>kevin.hardianus@muf.co.id</v>
      </c>
      <c r="J34" s="121">
        <f>VLOOKUP(D34,'MAPPING MD &amp; SKENARIO'!B:D,3,FALSE)</f>
        <v>1.95</v>
      </c>
      <c r="K34" s="121">
        <f t="shared" si="0"/>
        <v>0.97499999999999998</v>
      </c>
      <c r="L34" s="121">
        <v>1</v>
      </c>
      <c r="M34" s="127">
        <f t="shared" si="1"/>
        <v>4</v>
      </c>
      <c r="P34" s="78"/>
      <c r="R34" s="118"/>
    </row>
    <row r="35" spans="1:18" s="77" customFormat="1" ht="43.2">
      <c r="A35" s="80">
        <v>32</v>
      </c>
      <c r="B35" s="120" t="s">
        <v>362</v>
      </c>
      <c r="C35" s="158"/>
      <c r="D35" s="92" t="s">
        <v>10</v>
      </c>
      <c r="E35" s="92" t="s">
        <v>284</v>
      </c>
      <c r="F35" s="92" t="s">
        <v>285</v>
      </c>
      <c r="G35" s="92" t="s">
        <v>286</v>
      </c>
      <c r="H35" s="120" t="str">
        <f>VLOOKUP(LEFT(B35,FIND("-",B35)-1),'MAPPING MD &amp; SKENARIO'!$H$2:$I$42,2,FALSE)</f>
        <v>Kevin</v>
      </c>
      <c r="I35" s="92" t="str">
        <f>VLOOKUP(H35,'MAPPING MD &amp; SKENARIO'!$I$2:$J$42,2,FALSE)</f>
        <v>kevin.hardianus@muf.co.id</v>
      </c>
      <c r="J35" s="121">
        <f>VLOOKUP(D35,'MAPPING MD &amp; SKENARIO'!B:D,3,FALSE)</f>
        <v>0.26</v>
      </c>
      <c r="K35" s="121">
        <f t="shared" si="0"/>
        <v>0.13</v>
      </c>
      <c r="L35" s="121">
        <v>1</v>
      </c>
      <c r="M35" s="127">
        <f t="shared" si="1"/>
        <v>2</v>
      </c>
      <c r="P35" s="78"/>
      <c r="R35" s="118"/>
    </row>
    <row r="36" spans="1:18" s="77" customFormat="1" ht="115.2">
      <c r="A36" s="80">
        <v>33</v>
      </c>
      <c r="B36" s="120" t="s">
        <v>363</v>
      </c>
      <c r="C36" s="158"/>
      <c r="D36" s="92" t="s">
        <v>12</v>
      </c>
      <c r="E36" s="92" t="s">
        <v>288</v>
      </c>
      <c r="F36" s="92" t="s">
        <v>289</v>
      </c>
      <c r="G36" s="92" t="s">
        <v>290</v>
      </c>
      <c r="H36" s="120" t="str">
        <f>VLOOKUP(LEFT(B36,FIND("-",B36)-1),'MAPPING MD &amp; SKENARIO'!$H$2:$I$42,2,FALSE)</f>
        <v>Kevin</v>
      </c>
      <c r="I36" s="92" t="str">
        <f>VLOOKUP(H36,'MAPPING MD &amp; SKENARIO'!$I$2:$J$42,2,FALSE)</f>
        <v>kevin.hardianus@muf.co.id</v>
      </c>
      <c r="J36" s="121">
        <f>VLOOKUP(D36,'MAPPING MD &amp; SKENARIO'!B:D,3,FALSE)</f>
        <v>1.3</v>
      </c>
      <c r="K36" s="121">
        <f t="shared" si="0"/>
        <v>0.65</v>
      </c>
      <c r="L36" s="121">
        <v>1</v>
      </c>
      <c r="M36" s="127">
        <f t="shared" si="1"/>
        <v>3</v>
      </c>
      <c r="P36" s="78"/>
      <c r="R36" s="118"/>
    </row>
    <row r="37" spans="1:18" s="77" customFormat="1" ht="158.4">
      <c r="A37" s="80">
        <v>34</v>
      </c>
      <c r="B37" s="120" t="s">
        <v>364</v>
      </c>
      <c r="C37" s="158"/>
      <c r="D37" s="92" t="s">
        <v>14</v>
      </c>
      <c r="E37" s="92" t="s">
        <v>292</v>
      </c>
      <c r="F37" s="92" t="s">
        <v>293</v>
      </c>
      <c r="G37" s="92" t="s">
        <v>294</v>
      </c>
      <c r="H37" s="120" t="str">
        <f>VLOOKUP(LEFT(B37,FIND("-",B37)-1),'MAPPING MD &amp; SKENARIO'!$H$2:$I$42,2,FALSE)</f>
        <v>Kevin</v>
      </c>
      <c r="I37" s="92" t="str">
        <f>VLOOKUP(H37,'MAPPING MD &amp; SKENARIO'!$I$2:$J$42,2,FALSE)</f>
        <v>kevin.hardianus@muf.co.id</v>
      </c>
      <c r="J37" s="121">
        <f>VLOOKUP(D37,'MAPPING MD &amp; SKENARIO'!B:D,3,FALSE)</f>
        <v>2.6</v>
      </c>
      <c r="K37" s="121">
        <f t="shared" si="0"/>
        <v>1.3</v>
      </c>
      <c r="L37" s="121">
        <v>1</v>
      </c>
      <c r="M37" s="127">
        <f t="shared" si="1"/>
        <v>5</v>
      </c>
      <c r="P37" s="78"/>
      <c r="R37" s="118"/>
    </row>
    <row r="38" spans="1:18" s="77" customFormat="1" ht="144">
      <c r="A38" s="80">
        <v>35</v>
      </c>
      <c r="B38" s="120" t="s">
        <v>365</v>
      </c>
      <c r="C38" s="158"/>
      <c r="D38" s="92" t="s">
        <v>16</v>
      </c>
      <c r="E38" s="92" t="s">
        <v>296</v>
      </c>
      <c r="F38" s="92" t="s">
        <v>297</v>
      </c>
      <c r="G38" s="92" t="s">
        <v>298</v>
      </c>
      <c r="H38" s="120" t="str">
        <f>VLOOKUP(LEFT(B38,FIND("-",B38)-1),'MAPPING MD &amp; SKENARIO'!$H$2:$I$42,2,FALSE)</f>
        <v>Kevin</v>
      </c>
      <c r="I38" s="92" t="str">
        <f>VLOOKUP(H38,'MAPPING MD &amp; SKENARIO'!$I$2:$J$42,2,FALSE)</f>
        <v>kevin.hardianus@muf.co.id</v>
      </c>
      <c r="J38" s="121">
        <f>VLOOKUP(D38,'MAPPING MD &amp; SKENARIO'!B:D,3,FALSE)</f>
        <v>1.3</v>
      </c>
      <c r="K38" s="121">
        <f t="shared" si="0"/>
        <v>0.65</v>
      </c>
      <c r="L38" s="121">
        <v>1</v>
      </c>
      <c r="M38" s="127">
        <f t="shared" si="1"/>
        <v>3</v>
      </c>
      <c r="P38" s="78"/>
      <c r="R38" s="118"/>
    </row>
    <row r="39" spans="1:18" s="77" customFormat="1" ht="72">
      <c r="A39" s="80">
        <v>36</v>
      </c>
      <c r="B39" s="120" t="s">
        <v>366</v>
      </c>
      <c r="C39" s="158"/>
      <c r="D39" s="92" t="s">
        <v>18</v>
      </c>
      <c r="E39" s="92" t="s">
        <v>300</v>
      </c>
      <c r="F39" s="92" t="s">
        <v>301</v>
      </c>
      <c r="G39" s="92" t="s">
        <v>302</v>
      </c>
      <c r="H39" s="120" t="str">
        <f>VLOOKUP(LEFT(B39,FIND("-",B39)-1),'MAPPING MD &amp; SKENARIO'!$H$2:$I$42,2,FALSE)</f>
        <v>Kevin</v>
      </c>
      <c r="I39" s="92" t="str">
        <f>VLOOKUP(H39,'MAPPING MD &amp; SKENARIO'!$I$2:$J$42,2,FALSE)</f>
        <v>kevin.hardianus@muf.co.id</v>
      </c>
      <c r="J39" s="121">
        <f>VLOOKUP(D39,'MAPPING MD &amp; SKENARIO'!B:D,3,FALSE)</f>
        <v>2.6</v>
      </c>
      <c r="K39" s="121">
        <f t="shared" si="0"/>
        <v>1.3</v>
      </c>
      <c r="L39" s="121">
        <v>1</v>
      </c>
      <c r="M39" s="127">
        <f t="shared" si="1"/>
        <v>5</v>
      </c>
      <c r="P39" s="78"/>
      <c r="R39" s="118"/>
    </row>
    <row r="40" spans="1:18" s="77" customFormat="1" ht="57.6">
      <c r="A40" s="80">
        <v>37</v>
      </c>
      <c r="B40" s="120" t="s">
        <v>367</v>
      </c>
      <c r="C40" s="158"/>
      <c r="D40" s="92" t="s">
        <v>24</v>
      </c>
      <c r="E40" s="92" t="s">
        <v>304</v>
      </c>
      <c r="F40" s="92" t="s">
        <v>305</v>
      </c>
      <c r="G40" s="92" t="s">
        <v>306</v>
      </c>
      <c r="H40" s="120" t="str">
        <f>VLOOKUP(LEFT(B40,FIND("-",B40)-1),'MAPPING MD &amp; SKENARIO'!$H$2:$I$42,2,FALSE)</f>
        <v>Kevin</v>
      </c>
      <c r="I40" s="92" t="str">
        <f>VLOOKUP(H40,'MAPPING MD &amp; SKENARIO'!$I$2:$J$42,2,FALSE)</f>
        <v>kevin.hardianus@muf.co.id</v>
      </c>
      <c r="J40" s="121">
        <f>VLOOKUP(D40,'MAPPING MD &amp; SKENARIO'!B:D,3,FALSE)</f>
        <v>0.65</v>
      </c>
      <c r="K40" s="121">
        <f t="shared" si="0"/>
        <v>0.32500000000000001</v>
      </c>
      <c r="L40" s="121">
        <v>1</v>
      </c>
      <c r="M40" s="127">
        <f t="shared" si="1"/>
        <v>2</v>
      </c>
      <c r="P40" s="78"/>
      <c r="R40" s="118"/>
    </row>
    <row r="41" spans="1:18" s="77" customFormat="1" ht="86.4">
      <c r="A41" s="80">
        <v>38</v>
      </c>
      <c r="B41" s="120" t="s">
        <v>368</v>
      </c>
      <c r="C41" s="158"/>
      <c r="D41" s="92" t="s">
        <v>26</v>
      </c>
      <c r="E41" s="92" t="s">
        <v>308</v>
      </c>
      <c r="F41" s="92" t="s">
        <v>309</v>
      </c>
      <c r="G41" s="92" t="s">
        <v>310</v>
      </c>
      <c r="H41" s="120" t="str">
        <f>VLOOKUP(LEFT(B41,FIND("-",B41)-1),'MAPPING MD &amp; SKENARIO'!$H$2:$I$42,2,FALSE)</f>
        <v>Kevin</v>
      </c>
      <c r="I41" s="92" t="str">
        <f>VLOOKUP(H41,'MAPPING MD &amp; SKENARIO'!$I$2:$J$42,2,FALSE)</f>
        <v>kevin.hardianus@muf.co.id</v>
      </c>
      <c r="J41" s="121">
        <f>VLOOKUP(D41,'MAPPING MD &amp; SKENARIO'!B:D,3,FALSE)</f>
        <v>2.6</v>
      </c>
      <c r="K41" s="121">
        <f t="shared" si="0"/>
        <v>1.3</v>
      </c>
      <c r="L41" s="121">
        <v>1</v>
      </c>
      <c r="M41" s="127">
        <f t="shared" si="1"/>
        <v>5</v>
      </c>
      <c r="P41" s="78"/>
      <c r="R41" s="118"/>
    </row>
    <row r="42" spans="1:18" s="77" customFormat="1" ht="100.8">
      <c r="A42" s="80">
        <v>39</v>
      </c>
      <c r="B42" s="120" t="s">
        <v>369</v>
      </c>
      <c r="C42" s="158"/>
      <c r="D42" s="92" t="s">
        <v>28</v>
      </c>
      <c r="E42" s="92" t="s">
        <v>312</v>
      </c>
      <c r="F42" s="92" t="s">
        <v>313</v>
      </c>
      <c r="G42" s="92" t="s">
        <v>314</v>
      </c>
      <c r="H42" s="120" t="str">
        <f>VLOOKUP(LEFT(B42,FIND("-",B42)-1),'MAPPING MD &amp; SKENARIO'!$H$2:$I$42,2,FALSE)</f>
        <v>Kevin</v>
      </c>
      <c r="I42" s="92" t="str">
        <f>VLOOKUP(H42,'MAPPING MD &amp; SKENARIO'!$I$2:$J$42,2,FALSE)</f>
        <v>kevin.hardianus@muf.co.id</v>
      </c>
      <c r="J42" s="121">
        <f>VLOOKUP(D42,'MAPPING MD &amp; SKENARIO'!B:D,3,FALSE)</f>
        <v>1.95</v>
      </c>
      <c r="K42" s="121">
        <f t="shared" si="0"/>
        <v>0.97499999999999998</v>
      </c>
      <c r="L42" s="121">
        <v>1</v>
      </c>
      <c r="M42" s="127">
        <f t="shared" si="1"/>
        <v>4</v>
      </c>
      <c r="P42" s="78"/>
      <c r="R42" s="118"/>
    </row>
    <row r="43" spans="1:18" s="77" customFormat="1" ht="28.8">
      <c r="A43" s="80">
        <v>40</v>
      </c>
      <c r="B43" s="120" t="s">
        <v>370</v>
      </c>
      <c r="C43" s="158"/>
      <c r="D43" s="92" t="s">
        <v>30</v>
      </c>
      <c r="E43" s="92" t="s">
        <v>316</v>
      </c>
      <c r="F43" s="92" t="s">
        <v>317</v>
      </c>
      <c r="G43" s="92" t="s">
        <v>318</v>
      </c>
      <c r="H43" s="120" t="str">
        <f>VLOOKUP(LEFT(B43,FIND("-",B43)-1),'MAPPING MD &amp; SKENARIO'!$H$2:$I$42,2,FALSE)</f>
        <v>Kevin</v>
      </c>
      <c r="I43" s="92" t="str">
        <f>VLOOKUP(H43,'MAPPING MD &amp; SKENARIO'!$I$2:$J$42,2,FALSE)</f>
        <v>kevin.hardianus@muf.co.id</v>
      </c>
      <c r="J43" s="121">
        <f>VLOOKUP(D43,'MAPPING MD &amp; SKENARIO'!B:D,3,FALSE)</f>
        <v>0.65</v>
      </c>
      <c r="K43" s="121">
        <f t="shared" si="0"/>
        <v>0.32500000000000001</v>
      </c>
      <c r="L43" s="121">
        <v>1</v>
      </c>
      <c r="M43" s="127">
        <f t="shared" si="1"/>
        <v>2</v>
      </c>
      <c r="P43" s="78"/>
      <c r="R43" s="118"/>
    </row>
    <row r="44" spans="1:18" s="77" customFormat="1" ht="43.2">
      <c r="A44" s="80">
        <v>41</v>
      </c>
      <c r="B44" s="120" t="s">
        <v>371</v>
      </c>
      <c r="C44" s="158"/>
      <c r="D44" s="92" t="s">
        <v>32</v>
      </c>
      <c r="E44" s="92" t="s">
        <v>320</v>
      </c>
      <c r="F44" s="92" t="s">
        <v>321</v>
      </c>
      <c r="G44" s="92" t="s">
        <v>322</v>
      </c>
      <c r="H44" s="120" t="str">
        <f>VLOOKUP(LEFT(B44,FIND("-",B44)-1),'MAPPING MD &amp; SKENARIO'!$H$2:$I$42,2,FALSE)</f>
        <v>Kevin</v>
      </c>
      <c r="I44" s="92" t="str">
        <f>VLOOKUP(H44,'MAPPING MD &amp; SKENARIO'!$I$2:$J$42,2,FALSE)</f>
        <v>kevin.hardianus@muf.co.id</v>
      </c>
      <c r="J44" s="121">
        <f>VLOOKUP(D44,'MAPPING MD &amp; SKENARIO'!B:D,3,FALSE)</f>
        <v>0.65</v>
      </c>
      <c r="K44" s="121">
        <f t="shared" si="0"/>
        <v>0.32500000000000001</v>
      </c>
      <c r="L44" s="121">
        <v>1</v>
      </c>
      <c r="M44" s="127">
        <f t="shared" si="1"/>
        <v>2</v>
      </c>
      <c r="P44" s="78"/>
      <c r="R44" s="118"/>
    </row>
    <row r="45" spans="1:18" s="77" customFormat="1" ht="72">
      <c r="A45" s="80">
        <v>42</v>
      </c>
      <c r="B45" s="120" t="s">
        <v>372</v>
      </c>
      <c r="C45" s="158" t="s">
        <v>140</v>
      </c>
      <c r="D45" s="92" t="s">
        <v>6</v>
      </c>
      <c r="E45" s="92" t="s">
        <v>276</v>
      </c>
      <c r="F45" s="92" t="s">
        <v>277</v>
      </c>
      <c r="G45" s="92" t="s">
        <v>278</v>
      </c>
      <c r="H45" s="120" t="str">
        <f>VLOOKUP(LEFT(B45,FIND("-",B45)-1),'MAPPING MD &amp; SKENARIO'!$H$2:$I$42,2,FALSE)</f>
        <v>Rasya</v>
      </c>
      <c r="I45" s="92" t="str">
        <f>VLOOKUP(H45,'MAPPING MD &amp; SKENARIO'!$I$2:$J$42,2,FALSE)</f>
        <v>rasya.raharjo@muf.co.id</v>
      </c>
      <c r="J45" s="121">
        <f>VLOOKUP(D45,'MAPPING MD &amp; SKENARIO'!B:D,3,FALSE)</f>
        <v>1.3</v>
      </c>
      <c r="K45" s="121">
        <f t="shared" si="0"/>
        <v>0.65</v>
      </c>
      <c r="L45" s="121">
        <v>1</v>
      </c>
      <c r="M45" s="127">
        <f t="shared" si="1"/>
        <v>3</v>
      </c>
      <c r="P45" s="78"/>
      <c r="R45" s="118"/>
    </row>
    <row r="46" spans="1:18" s="77" customFormat="1" ht="57.6">
      <c r="A46" s="80">
        <v>43</v>
      </c>
      <c r="B46" s="120" t="s">
        <v>373</v>
      </c>
      <c r="C46" s="158"/>
      <c r="D46" s="92" t="s">
        <v>8</v>
      </c>
      <c r="E46" s="92" t="s">
        <v>280</v>
      </c>
      <c r="F46" s="92" t="s">
        <v>281</v>
      </c>
      <c r="G46" s="92" t="s">
        <v>282</v>
      </c>
      <c r="H46" s="120" t="str">
        <f>VLOOKUP(LEFT(B46,FIND("-",B46)-1),'MAPPING MD &amp; SKENARIO'!$H$2:$I$42,2,FALSE)</f>
        <v>Rasya</v>
      </c>
      <c r="I46" s="92" t="str">
        <f>VLOOKUP(H46,'MAPPING MD &amp; SKENARIO'!$I$2:$J$42,2,FALSE)</f>
        <v>rasya.raharjo@muf.co.id</v>
      </c>
      <c r="J46" s="121">
        <f>VLOOKUP(D46,'MAPPING MD &amp; SKENARIO'!B:D,3,FALSE)</f>
        <v>1.95</v>
      </c>
      <c r="K46" s="121">
        <f t="shared" si="0"/>
        <v>0.97499999999999998</v>
      </c>
      <c r="L46" s="121">
        <v>1</v>
      </c>
      <c r="M46" s="127">
        <f t="shared" si="1"/>
        <v>4</v>
      </c>
      <c r="P46" s="78"/>
      <c r="R46" s="118"/>
    </row>
    <row r="47" spans="1:18" s="77" customFormat="1" ht="43.2">
      <c r="A47" s="80">
        <v>44</v>
      </c>
      <c r="B47" s="120" t="s">
        <v>374</v>
      </c>
      <c r="C47" s="158"/>
      <c r="D47" s="92" t="s">
        <v>10</v>
      </c>
      <c r="E47" s="92" t="s">
        <v>284</v>
      </c>
      <c r="F47" s="92" t="s">
        <v>285</v>
      </c>
      <c r="G47" s="92" t="s">
        <v>286</v>
      </c>
      <c r="H47" s="120" t="str">
        <f>VLOOKUP(LEFT(B47,FIND("-",B47)-1),'MAPPING MD &amp; SKENARIO'!$H$2:$I$42,2,FALSE)</f>
        <v>Rasya</v>
      </c>
      <c r="I47" s="92" t="str">
        <f>VLOOKUP(H47,'MAPPING MD &amp; SKENARIO'!$I$2:$J$42,2,FALSE)</f>
        <v>rasya.raharjo@muf.co.id</v>
      </c>
      <c r="J47" s="121">
        <f>VLOOKUP(D47,'MAPPING MD &amp; SKENARIO'!B:D,3,FALSE)</f>
        <v>0.26</v>
      </c>
      <c r="K47" s="121">
        <f t="shared" si="0"/>
        <v>0.13</v>
      </c>
      <c r="L47" s="121">
        <v>1</v>
      </c>
      <c r="M47" s="127">
        <f t="shared" si="1"/>
        <v>2</v>
      </c>
      <c r="P47" s="78"/>
      <c r="R47" s="118"/>
    </row>
    <row r="48" spans="1:18" s="77" customFormat="1" ht="115.2">
      <c r="A48" s="80">
        <v>45</v>
      </c>
      <c r="B48" s="120" t="s">
        <v>375</v>
      </c>
      <c r="C48" s="158"/>
      <c r="D48" s="92" t="s">
        <v>12</v>
      </c>
      <c r="E48" s="92" t="s">
        <v>327</v>
      </c>
      <c r="F48" s="92" t="s">
        <v>328</v>
      </c>
      <c r="G48" s="92" t="s">
        <v>290</v>
      </c>
      <c r="H48" s="120" t="str">
        <f>VLOOKUP(LEFT(B48,FIND("-",B48)-1),'MAPPING MD &amp; SKENARIO'!$H$2:$I$42,2,FALSE)</f>
        <v>Rasya</v>
      </c>
      <c r="I48" s="92" t="str">
        <f>VLOOKUP(H48,'MAPPING MD &amp; SKENARIO'!$I$2:$J$42,2,FALSE)</f>
        <v>rasya.raharjo@muf.co.id</v>
      </c>
      <c r="J48" s="121">
        <f>VLOOKUP(D48,'MAPPING MD &amp; SKENARIO'!B:D,3,FALSE)</f>
        <v>1.3</v>
      </c>
      <c r="K48" s="121">
        <f t="shared" si="0"/>
        <v>0.65</v>
      </c>
      <c r="L48" s="121">
        <v>1</v>
      </c>
      <c r="M48" s="127">
        <f t="shared" si="1"/>
        <v>3</v>
      </c>
      <c r="P48" s="78"/>
      <c r="R48" s="118"/>
    </row>
    <row r="49" spans="1:18" s="77" customFormat="1" ht="158.4">
      <c r="A49" s="80">
        <v>46</v>
      </c>
      <c r="B49" s="120" t="s">
        <v>376</v>
      </c>
      <c r="C49" s="158"/>
      <c r="D49" s="92" t="s">
        <v>14</v>
      </c>
      <c r="E49" s="92" t="s">
        <v>330</v>
      </c>
      <c r="F49" s="92" t="s">
        <v>293</v>
      </c>
      <c r="G49" s="92" t="s">
        <v>294</v>
      </c>
      <c r="H49" s="120" t="str">
        <f>VLOOKUP(LEFT(B49,FIND("-",B49)-1),'MAPPING MD &amp; SKENARIO'!$H$2:$I$42,2,FALSE)</f>
        <v>Rasya</v>
      </c>
      <c r="I49" s="92" t="str">
        <f>VLOOKUP(H49,'MAPPING MD &amp; SKENARIO'!$I$2:$J$42,2,FALSE)</f>
        <v>rasya.raharjo@muf.co.id</v>
      </c>
      <c r="J49" s="121">
        <f>VLOOKUP(D49,'MAPPING MD &amp; SKENARIO'!B:D,3,FALSE)</f>
        <v>2.6</v>
      </c>
      <c r="K49" s="121">
        <f t="shared" si="0"/>
        <v>1.3</v>
      </c>
      <c r="L49" s="121">
        <v>1</v>
      </c>
      <c r="M49" s="127">
        <f t="shared" si="1"/>
        <v>5</v>
      </c>
      <c r="P49" s="78"/>
      <c r="R49" s="118"/>
    </row>
    <row r="50" spans="1:18" s="77" customFormat="1" ht="144">
      <c r="A50" s="80">
        <v>47</v>
      </c>
      <c r="B50" s="120" t="s">
        <v>377</v>
      </c>
      <c r="C50" s="158"/>
      <c r="D50" s="92" t="s">
        <v>20</v>
      </c>
      <c r="E50" s="92" t="s">
        <v>332</v>
      </c>
      <c r="F50" s="92" t="s">
        <v>333</v>
      </c>
      <c r="G50" s="92" t="s">
        <v>334</v>
      </c>
      <c r="H50" s="120" t="str">
        <f>VLOOKUP(LEFT(B50,FIND("-",B50)-1),'MAPPING MD &amp; SKENARIO'!$H$2:$I$42,2,FALSE)</f>
        <v>Rasya</v>
      </c>
      <c r="I50" s="92" t="str">
        <f>VLOOKUP(H50,'MAPPING MD &amp; SKENARIO'!$I$2:$J$42,2,FALSE)</f>
        <v>rasya.raharjo@muf.co.id</v>
      </c>
      <c r="J50" s="121">
        <f>VLOOKUP(D50,'MAPPING MD &amp; SKENARIO'!B:D,3,FALSE)</f>
        <v>1.3</v>
      </c>
      <c r="K50" s="121">
        <f t="shared" si="0"/>
        <v>0.65</v>
      </c>
      <c r="L50" s="121">
        <v>1</v>
      </c>
      <c r="M50" s="127">
        <f t="shared" si="1"/>
        <v>3</v>
      </c>
      <c r="P50" s="78"/>
      <c r="R50" s="118"/>
    </row>
    <row r="51" spans="1:18" s="77" customFormat="1" ht="100.8">
      <c r="A51" s="80">
        <v>48</v>
      </c>
      <c r="B51" s="120" t="s">
        <v>378</v>
      </c>
      <c r="C51" s="158"/>
      <c r="D51" s="92" t="s">
        <v>22</v>
      </c>
      <c r="E51" s="92" t="s">
        <v>379</v>
      </c>
      <c r="F51" s="92" t="s">
        <v>380</v>
      </c>
      <c r="G51" s="92" t="s">
        <v>381</v>
      </c>
      <c r="H51" s="120" t="str">
        <f>VLOOKUP(LEFT(B51,FIND("-",B51)-1),'MAPPING MD &amp; SKENARIO'!$H$2:$I$42,2,FALSE)</f>
        <v>Rasya</v>
      </c>
      <c r="I51" s="92" t="str">
        <f>VLOOKUP(H51,'MAPPING MD &amp; SKENARIO'!$I$2:$J$42,2,FALSE)</f>
        <v>rasya.raharjo@muf.co.id</v>
      </c>
      <c r="J51" s="121">
        <f>VLOOKUP(D51,'MAPPING MD &amp; SKENARIO'!B:D,3,FALSE)</f>
        <v>1.3</v>
      </c>
      <c r="K51" s="121">
        <f t="shared" si="0"/>
        <v>0.65</v>
      </c>
      <c r="L51" s="121">
        <v>1</v>
      </c>
      <c r="M51" s="127">
        <f t="shared" si="1"/>
        <v>3</v>
      </c>
      <c r="P51" s="78"/>
      <c r="R51" s="118"/>
    </row>
    <row r="52" spans="1:18" s="77" customFormat="1" ht="57.6">
      <c r="A52" s="80">
        <v>49</v>
      </c>
      <c r="B52" s="120" t="s">
        <v>382</v>
      </c>
      <c r="C52" s="158"/>
      <c r="D52" s="92" t="s">
        <v>24</v>
      </c>
      <c r="E52" s="92" t="s">
        <v>304</v>
      </c>
      <c r="F52" s="92" t="s">
        <v>305</v>
      </c>
      <c r="G52" s="92" t="s">
        <v>306</v>
      </c>
      <c r="H52" s="120" t="str">
        <f>VLOOKUP(LEFT(B52,FIND("-",B52)-1),'MAPPING MD &amp; SKENARIO'!$H$2:$I$42,2,FALSE)</f>
        <v>Rasya</v>
      </c>
      <c r="I52" s="92" t="str">
        <f>VLOOKUP(H52,'MAPPING MD &amp; SKENARIO'!$I$2:$J$42,2,FALSE)</f>
        <v>rasya.raharjo@muf.co.id</v>
      </c>
      <c r="J52" s="121">
        <f>VLOOKUP(D52,'MAPPING MD &amp; SKENARIO'!B:D,3,FALSE)</f>
        <v>0.65</v>
      </c>
      <c r="K52" s="121">
        <f t="shared" si="0"/>
        <v>0.32500000000000001</v>
      </c>
      <c r="L52" s="121">
        <v>1</v>
      </c>
      <c r="M52" s="127">
        <f t="shared" si="1"/>
        <v>2</v>
      </c>
      <c r="P52" s="78"/>
      <c r="R52" s="118"/>
    </row>
    <row r="53" spans="1:18" s="77" customFormat="1" ht="86.4">
      <c r="A53" s="80">
        <v>50</v>
      </c>
      <c r="B53" s="120" t="s">
        <v>383</v>
      </c>
      <c r="C53" s="158"/>
      <c r="D53" s="92" t="s">
        <v>26</v>
      </c>
      <c r="E53" s="92" t="s">
        <v>308</v>
      </c>
      <c r="F53" s="92" t="s">
        <v>309</v>
      </c>
      <c r="G53" s="92" t="s">
        <v>310</v>
      </c>
      <c r="H53" s="120" t="str">
        <f>VLOOKUP(LEFT(B53,FIND("-",B53)-1),'MAPPING MD &amp; SKENARIO'!$H$2:$I$42,2,FALSE)</f>
        <v>Rasya</v>
      </c>
      <c r="I53" s="92" t="str">
        <f>VLOOKUP(H53,'MAPPING MD &amp; SKENARIO'!$I$2:$J$42,2,FALSE)</f>
        <v>rasya.raharjo@muf.co.id</v>
      </c>
      <c r="J53" s="121">
        <f>VLOOKUP(D53,'MAPPING MD &amp; SKENARIO'!B:D,3,FALSE)</f>
        <v>2.6</v>
      </c>
      <c r="K53" s="121">
        <f t="shared" si="0"/>
        <v>1.3</v>
      </c>
      <c r="L53" s="121">
        <v>1</v>
      </c>
      <c r="M53" s="127">
        <f t="shared" si="1"/>
        <v>5</v>
      </c>
      <c r="P53" s="78"/>
      <c r="R53" s="118"/>
    </row>
    <row r="54" spans="1:18" s="77" customFormat="1" ht="100.8">
      <c r="A54" s="80">
        <v>51</v>
      </c>
      <c r="B54" s="120" t="s">
        <v>384</v>
      </c>
      <c r="C54" s="158"/>
      <c r="D54" s="92" t="s">
        <v>28</v>
      </c>
      <c r="E54" s="92" t="s">
        <v>312</v>
      </c>
      <c r="F54" s="92" t="s">
        <v>313</v>
      </c>
      <c r="G54" s="92" t="s">
        <v>314</v>
      </c>
      <c r="H54" s="120" t="str">
        <f>VLOOKUP(LEFT(B54,FIND("-",B54)-1),'MAPPING MD &amp; SKENARIO'!$H$2:$I$42,2,FALSE)</f>
        <v>Rasya</v>
      </c>
      <c r="I54" s="92" t="str">
        <f>VLOOKUP(H54,'MAPPING MD &amp; SKENARIO'!$I$2:$J$42,2,FALSE)</f>
        <v>rasya.raharjo@muf.co.id</v>
      </c>
      <c r="J54" s="121">
        <f>VLOOKUP(D54,'MAPPING MD &amp; SKENARIO'!B:D,3,FALSE)</f>
        <v>1.95</v>
      </c>
      <c r="K54" s="121">
        <f t="shared" si="0"/>
        <v>0.97499999999999998</v>
      </c>
      <c r="L54" s="121">
        <v>1</v>
      </c>
      <c r="M54" s="127">
        <f t="shared" si="1"/>
        <v>4</v>
      </c>
      <c r="P54" s="78"/>
      <c r="R54" s="118"/>
    </row>
    <row r="55" spans="1:18" s="77" customFormat="1" ht="28.8">
      <c r="A55" s="80">
        <v>52</v>
      </c>
      <c r="B55" s="120" t="s">
        <v>385</v>
      </c>
      <c r="C55" s="158"/>
      <c r="D55" s="92" t="s">
        <v>30</v>
      </c>
      <c r="E55" s="92" t="s">
        <v>316</v>
      </c>
      <c r="F55" s="92" t="s">
        <v>317</v>
      </c>
      <c r="G55" s="92" t="s">
        <v>318</v>
      </c>
      <c r="H55" s="120" t="str">
        <f>VLOOKUP(LEFT(B55,FIND("-",B55)-1),'MAPPING MD &amp; SKENARIO'!$H$2:$I$42,2,FALSE)</f>
        <v>Rasya</v>
      </c>
      <c r="I55" s="92" t="str">
        <f>VLOOKUP(H55,'MAPPING MD &amp; SKENARIO'!$I$2:$J$42,2,FALSE)</f>
        <v>rasya.raharjo@muf.co.id</v>
      </c>
      <c r="J55" s="121">
        <f>VLOOKUP(D55,'MAPPING MD &amp; SKENARIO'!B:D,3,FALSE)</f>
        <v>0.65</v>
      </c>
      <c r="K55" s="121">
        <f t="shared" si="0"/>
        <v>0.32500000000000001</v>
      </c>
      <c r="L55" s="121">
        <v>1</v>
      </c>
      <c r="M55" s="127">
        <f t="shared" si="1"/>
        <v>2</v>
      </c>
      <c r="P55" s="78"/>
      <c r="R55" s="118"/>
    </row>
    <row r="56" spans="1:18" s="77" customFormat="1" ht="43.2">
      <c r="A56" s="80">
        <v>53</v>
      </c>
      <c r="B56" s="120" t="s">
        <v>386</v>
      </c>
      <c r="C56" s="158"/>
      <c r="D56" s="92" t="s">
        <v>32</v>
      </c>
      <c r="E56" s="92" t="s">
        <v>320</v>
      </c>
      <c r="F56" s="92" t="s">
        <v>321</v>
      </c>
      <c r="G56" s="92" t="s">
        <v>322</v>
      </c>
      <c r="H56" s="120" t="str">
        <f>VLOOKUP(LEFT(B56,FIND("-",B56)-1),'MAPPING MD &amp; SKENARIO'!$H$2:$I$42,2,FALSE)</f>
        <v>Rasya</v>
      </c>
      <c r="I56" s="92" t="str">
        <f>VLOOKUP(H56,'MAPPING MD &amp; SKENARIO'!$I$2:$J$42,2,FALSE)</f>
        <v>rasya.raharjo@muf.co.id</v>
      </c>
      <c r="J56" s="121">
        <f>VLOOKUP(D56,'MAPPING MD &amp; SKENARIO'!B:D,3,FALSE)</f>
        <v>0.65</v>
      </c>
      <c r="K56" s="121">
        <f t="shared" si="0"/>
        <v>0.32500000000000001</v>
      </c>
      <c r="L56" s="121">
        <v>1</v>
      </c>
      <c r="M56" s="127">
        <f t="shared" si="1"/>
        <v>2</v>
      </c>
      <c r="P56" s="78"/>
      <c r="R56" s="118"/>
    </row>
    <row r="57" spans="1:18" s="77" customFormat="1" ht="72">
      <c r="A57" s="80">
        <v>54</v>
      </c>
      <c r="B57" s="120" t="s">
        <v>387</v>
      </c>
      <c r="C57" s="158" t="s">
        <v>145</v>
      </c>
      <c r="D57" s="92" t="s">
        <v>6</v>
      </c>
      <c r="E57" s="92" t="s">
        <v>276</v>
      </c>
      <c r="F57" s="92" t="s">
        <v>277</v>
      </c>
      <c r="G57" s="92" t="s">
        <v>278</v>
      </c>
      <c r="H57" s="120" t="str">
        <f>VLOOKUP(LEFT(B57,FIND("-",B57)-1),'MAPPING MD &amp; SKENARIO'!$H$2:$I$42,2,FALSE)</f>
        <v>Azhar</v>
      </c>
      <c r="I57" s="92" t="str">
        <f>VLOOKUP(H57,'MAPPING MD &amp; SKENARIO'!$I$2:$J$42,2,FALSE)</f>
        <v>azhar.azhar@muf.co.id</v>
      </c>
      <c r="J57" s="121">
        <f>VLOOKUP(D57,'MAPPING MD &amp; SKENARIO'!B:D,3,FALSE)</f>
        <v>1.3</v>
      </c>
      <c r="K57" s="121">
        <f t="shared" si="0"/>
        <v>0.65</v>
      </c>
      <c r="L57" s="121">
        <v>1</v>
      </c>
      <c r="M57" s="127">
        <f t="shared" si="1"/>
        <v>3</v>
      </c>
      <c r="P57" s="78"/>
      <c r="R57" s="118"/>
    </row>
    <row r="58" spans="1:18" s="77" customFormat="1" ht="57.6">
      <c r="A58" s="80">
        <v>55</v>
      </c>
      <c r="B58" s="120" t="s">
        <v>388</v>
      </c>
      <c r="C58" s="158"/>
      <c r="D58" s="92" t="s">
        <v>8</v>
      </c>
      <c r="E58" s="92" t="s">
        <v>280</v>
      </c>
      <c r="F58" s="92" t="s">
        <v>281</v>
      </c>
      <c r="G58" s="92" t="s">
        <v>282</v>
      </c>
      <c r="H58" s="120" t="str">
        <f>VLOOKUP(LEFT(B58,FIND("-",B58)-1),'MAPPING MD &amp; SKENARIO'!$H$2:$I$42,2,FALSE)</f>
        <v>Azhar</v>
      </c>
      <c r="I58" s="92" t="str">
        <f>VLOOKUP(H58,'MAPPING MD &amp; SKENARIO'!$I$2:$J$42,2,FALSE)</f>
        <v>azhar.azhar@muf.co.id</v>
      </c>
      <c r="J58" s="121">
        <f>VLOOKUP(D58,'MAPPING MD &amp; SKENARIO'!B:D,3,FALSE)</f>
        <v>1.95</v>
      </c>
      <c r="K58" s="121">
        <f t="shared" si="0"/>
        <v>0.97499999999999998</v>
      </c>
      <c r="L58" s="121">
        <v>1</v>
      </c>
      <c r="M58" s="127">
        <f t="shared" si="1"/>
        <v>4</v>
      </c>
      <c r="P58" s="78"/>
      <c r="R58" s="118"/>
    </row>
    <row r="59" spans="1:18" s="77" customFormat="1" ht="43.2">
      <c r="A59" s="80">
        <v>56</v>
      </c>
      <c r="B59" s="120" t="s">
        <v>389</v>
      </c>
      <c r="C59" s="158"/>
      <c r="D59" s="92" t="s">
        <v>10</v>
      </c>
      <c r="E59" s="92" t="s">
        <v>284</v>
      </c>
      <c r="F59" s="92" t="s">
        <v>285</v>
      </c>
      <c r="G59" s="92" t="s">
        <v>286</v>
      </c>
      <c r="H59" s="120" t="str">
        <f>VLOOKUP(LEFT(B59,FIND("-",B59)-1),'MAPPING MD &amp; SKENARIO'!$H$2:$I$42,2,FALSE)</f>
        <v>Azhar</v>
      </c>
      <c r="I59" s="92" t="str">
        <f>VLOOKUP(H59,'MAPPING MD &amp; SKENARIO'!$I$2:$J$42,2,FALSE)</f>
        <v>azhar.azhar@muf.co.id</v>
      </c>
      <c r="J59" s="121">
        <f>VLOOKUP(D59,'MAPPING MD &amp; SKENARIO'!B:D,3,FALSE)</f>
        <v>0.26</v>
      </c>
      <c r="K59" s="121">
        <f t="shared" si="0"/>
        <v>0.13</v>
      </c>
      <c r="L59" s="121">
        <v>1</v>
      </c>
      <c r="M59" s="127">
        <f t="shared" si="1"/>
        <v>2</v>
      </c>
      <c r="P59" s="78"/>
      <c r="R59" s="118"/>
    </row>
    <row r="60" spans="1:18" s="77" customFormat="1" ht="115.2">
      <c r="A60" s="80">
        <v>57</v>
      </c>
      <c r="B60" s="120" t="s">
        <v>390</v>
      </c>
      <c r="C60" s="158"/>
      <c r="D60" s="92" t="s">
        <v>12</v>
      </c>
      <c r="E60" s="92" t="s">
        <v>327</v>
      </c>
      <c r="F60" s="92" t="s">
        <v>391</v>
      </c>
      <c r="G60" s="92" t="s">
        <v>290</v>
      </c>
      <c r="H60" s="120" t="str">
        <f>VLOOKUP(LEFT(B60,FIND("-",B60)-1),'MAPPING MD &amp; SKENARIO'!$H$2:$I$42,2,FALSE)</f>
        <v>Azhar</v>
      </c>
      <c r="I60" s="92" t="str">
        <f>VLOOKUP(H60,'MAPPING MD &amp; SKENARIO'!$I$2:$J$42,2,FALSE)</f>
        <v>azhar.azhar@muf.co.id</v>
      </c>
      <c r="J60" s="121">
        <f>VLOOKUP(D60,'MAPPING MD &amp; SKENARIO'!B:D,3,FALSE)</f>
        <v>1.3</v>
      </c>
      <c r="K60" s="121">
        <f t="shared" si="0"/>
        <v>0.65</v>
      </c>
      <c r="L60" s="121">
        <v>1</v>
      </c>
      <c r="M60" s="127">
        <f t="shared" si="1"/>
        <v>3</v>
      </c>
      <c r="P60" s="78"/>
      <c r="R60" s="118"/>
    </row>
    <row r="61" spans="1:18" s="77" customFormat="1" ht="158.4">
      <c r="A61" s="80">
        <v>58</v>
      </c>
      <c r="B61" s="120" t="s">
        <v>392</v>
      </c>
      <c r="C61" s="158"/>
      <c r="D61" s="92" t="s">
        <v>14</v>
      </c>
      <c r="E61" s="92" t="s">
        <v>330</v>
      </c>
      <c r="F61" s="92" t="s">
        <v>293</v>
      </c>
      <c r="G61" s="92" t="s">
        <v>294</v>
      </c>
      <c r="H61" s="120" t="str">
        <f>VLOOKUP(LEFT(B61,FIND("-",B61)-1),'MAPPING MD &amp; SKENARIO'!$H$2:$I$42,2,FALSE)</f>
        <v>Azhar</v>
      </c>
      <c r="I61" s="92" t="str">
        <f>VLOOKUP(H61,'MAPPING MD &amp; SKENARIO'!$I$2:$J$42,2,FALSE)</f>
        <v>azhar.azhar@muf.co.id</v>
      </c>
      <c r="J61" s="121">
        <f>VLOOKUP(D61,'MAPPING MD &amp; SKENARIO'!B:D,3,FALSE)</f>
        <v>2.6</v>
      </c>
      <c r="K61" s="121">
        <f t="shared" si="0"/>
        <v>1.3</v>
      </c>
      <c r="L61" s="121">
        <v>1</v>
      </c>
      <c r="M61" s="127">
        <f t="shared" si="1"/>
        <v>5</v>
      </c>
      <c r="P61" s="78"/>
      <c r="R61" s="118"/>
    </row>
    <row r="62" spans="1:18" s="77" customFormat="1" ht="144">
      <c r="A62" s="80">
        <v>59</v>
      </c>
      <c r="B62" s="120" t="s">
        <v>393</v>
      </c>
      <c r="C62" s="158"/>
      <c r="D62" s="92" t="s">
        <v>16</v>
      </c>
      <c r="E62" s="92" t="s">
        <v>394</v>
      </c>
      <c r="F62" s="92" t="s">
        <v>395</v>
      </c>
      <c r="G62" s="92" t="s">
        <v>298</v>
      </c>
      <c r="H62" s="120" t="str">
        <f>VLOOKUP(LEFT(B62,FIND("-",B62)-1),'MAPPING MD &amp; SKENARIO'!$H$2:$I$42,2,FALSE)</f>
        <v>Azhar</v>
      </c>
      <c r="I62" s="92" t="str">
        <f>VLOOKUP(H62,'MAPPING MD &amp; SKENARIO'!$I$2:$J$42,2,FALSE)</f>
        <v>azhar.azhar@muf.co.id</v>
      </c>
      <c r="J62" s="121">
        <f>VLOOKUP(D62,'MAPPING MD &amp; SKENARIO'!B:D,3,FALSE)</f>
        <v>1.3</v>
      </c>
      <c r="K62" s="121">
        <f t="shared" si="0"/>
        <v>0.65</v>
      </c>
      <c r="L62" s="121">
        <v>1</v>
      </c>
      <c r="M62" s="127">
        <f t="shared" si="1"/>
        <v>3</v>
      </c>
      <c r="P62" s="78"/>
      <c r="R62" s="118"/>
    </row>
    <row r="63" spans="1:18" s="77" customFormat="1" ht="72">
      <c r="A63" s="80">
        <v>60</v>
      </c>
      <c r="B63" s="120" t="s">
        <v>396</v>
      </c>
      <c r="C63" s="158"/>
      <c r="D63" s="92" t="s">
        <v>18</v>
      </c>
      <c r="E63" s="92" t="s">
        <v>344</v>
      </c>
      <c r="F63" s="92" t="s">
        <v>301</v>
      </c>
      <c r="G63" s="92" t="s">
        <v>302</v>
      </c>
      <c r="H63" s="120" t="str">
        <f>VLOOKUP(LEFT(B63,FIND("-",B63)-1),'MAPPING MD &amp; SKENARIO'!$H$2:$I$42,2,FALSE)</f>
        <v>Azhar</v>
      </c>
      <c r="I63" s="92" t="str">
        <f>VLOOKUP(H63,'MAPPING MD &amp; SKENARIO'!$I$2:$J$42,2,FALSE)</f>
        <v>azhar.azhar@muf.co.id</v>
      </c>
      <c r="J63" s="121">
        <f>VLOOKUP(D63,'MAPPING MD &amp; SKENARIO'!B:D,3,FALSE)</f>
        <v>2.6</v>
      </c>
      <c r="K63" s="121">
        <f t="shared" si="0"/>
        <v>1.3</v>
      </c>
      <c r="L63" s="121">
        <v>1</v>
      </c>
      <c r="M63" s="127">
        <f t="shared" si="1"/>
        <v>5</v>
      </c>
      <c r="P63" s="78"/>
      <c r="R63" s="118"/>
    </row>
    <row r="64" spans="1:18" s="77" customFormat="1" ht="57.6">
      <c r="A64" s="80">
        <v>61</v>
      </c>
      <c r="B64" s="120" t="s">
        <v>397</v>
      </c>
      <c r="C64" s="158"/>
      <c r="D64" s="92" t="s">
        <v>24</v>
      </c>
      <c r="E64" s="92" t="s">
        <v>304</v>
      </c>
      <c r="F64" s="92" t="s">
        <v>305</v>
      </c>
      <c r="G64" s="92" t="s">
        <v>306</v>
      </c>
      <c r="H64" s="120" t="str">
        <f>VLOOKUP(LEFT(B64,FIND("-",B64)-1),'MAPPING MD &amp; SKENARIO'!$H$2:$I$42,2,FALSE)</f>
        <v>Azhar</v>
      </c>
      <c r="I64" s="92" t="str">
        <f>VLOOKUP(H64,'MAPPING MD &amp; SKENARIO'!$I$2:$J$42,2,FALSE)</f>
        <v>azhar.azhar@muf.co.id</v>
      </c>
      <c r="J64" s="121">
        <f>VLOOKUP(D64,'MAPPING MD &amp; SKENARIO'!B:D,3,FALSE)</f>
        <v>0.65</v>
      </c>
      <c r="K64" s="121">
        <f t="shared" si="0"/>
        <v>0.32500000000000001</v>
      </c>
      <c r="L64" s="121">
        <v>1</v>
      </c>
      <c r="M64" s="127">
        <f t="shared" si="1"/>
        <v>2</v>
      </c>
      <c r="P64" s="78"/>
      <c r="R64" s="118"/>
    </row>
    <row r="65" spans="1:18" s="77" customFormat="1" ht="86.4">
      <c r="A65" s="80">
        <v>62</v>
      </c>
      <c r="B65" s="120" t="s">
        <v>398</v>
      </c>
      <c r="C65" s="158"/>
      <c r="D65" s="92" t="s">
        <v>26</v>
      </c>
      <c r="E65" s="92" t="s">
        <v>308</v>
      </c>
      <c r="F65" s="92" t="s">
        <v>309</v>
      </c>
      <c r="G65" s="92" t="s">
        <v>310</v>
      </c>
      <c r="H65" s="120" t="str">
        <f>VLOOKUP(LEFT(B65,FIND("-",B65)-1),'MAPPING MD &amp; SKENARIO'!$H$2:$I$42,2,FALSE)</f>
        <v>Azhar</v>
      </c>
      <c r="I65" s="92" t="str">
        <f>VLOOKUP(H65,'MAPPING MD &amp; SKENARIO'!$I$2:$J$42,2,FALSE)</f>
        <v>azhar.azhar@muf.co.id</v>
      </c>
      <c r="J65" s="121">
        <f>VLOOKUP(D65,'MAPPING MD &amp; SKENARIO'!B:D,3,FALSE)</f>
        <v>2.6</v>
      </c>
      <c r="K65" s="121">
        <f t="shared" si="0"/>
        <v>1.3</v>
      </c>
      <c r="L65" s="121">
        <v>1</v>
      </c>
      <c r="M65" s="127">
        <f t="shared" si="1"/>
        <v>5</v>
      </c>
      <c r="P65" s="78"/>
      <c r="R65" s="118"/>
    </row>
    <row r="66" spans="1:18" s="77" customFormat="1" ht="100.8">
      <c r="A66" s="80">
        <v>63</v>
      </c>
      <c r="B66" s="120" t="s">
        <v>399</v>
      </c>
      <c r="C66" s="158"/>
      <c r="D66" s="92" t="s">
        <v>28</v>
      </c>
      <c r="E66" s="92" t="s">
        <v>312</v>
      </c>
      <c r="F66" s="92" t="s">
        <v>313</v>
      </c>
      <c r="G66" s="92" t="s">
        <v>314</v>
      </c>
      <c r="H66" s="120" t="str">
        <f>VLOOKUP(LEFT(B66,FIND("-",B66)-1),'MAPPING MD &amp; SKENARIO'!$H$2:$I$42,2,FALSE)</f>
        <v>Azhar</v>
      </c>
      <c r="I66" s="92" t="str">
        <f>VLOOKUP(H66,'MAPPING MD &amp; SKENARIO'!$I$2:$J$42,2,FALSE)</f>
        <v>azhar.azhar@muf.co.id</v>
      </c>
      <c r="J66" s="121">
        <f>VLOOKUP(D66,'MAPPING MD &amp; SKENARIO'!B:D,3,FALSE)</f>
        <v>1.95</v>
      </c>
      <c r="K66" s="121">
        <f t="shared" si="0"/>
        <v>0.97499999999999998</v>
      </c>
      <c r="L66" s="121">
        <v>1</v>
      </c>
      <c r="M66" s="127">
        <f t="shared" si="1"/>
        <v>4</v>
      </c>
      <c r="P66" s="78"/>
      <c r="R66" s="118"/>
    </row>
    <row r="67" spans="1:18" s="77" customFormat="1" ht="28.8">
      <c r="A67" s="80">
        <v>64</v>
      </c>
      <c r="B67" s="120" t="s">
        <v>400</v>
      </c>
      <c r="C67" s="158"/>
      <c r="D67" s="92" t="s">
        <v>30</v>
      </c>
      <c r="E67" s="92" t="s">
        <v>316</v>
      </c>
      <c r="F67" s="92" t="s">
        <v>317</v>
      </c>
      <c r="G67" s="92" t="s">
        <v>318</v>
      </c>
      <c r="H67" s="120" t="str">
        <f>VLOOKUP(LEFT(B67,FIND("-",B67)-1),'MAPPING MD &amp; SKENARIO'!$H$2:$I$42,2,FALSE)</f>
        <v>Azhar</v>
      </c>
      <c r="I67" s="92" t="str">
        <f>VLOOKUP(H67,'MAPPING MD &amp; SKENARIO'!$I$2:$J$42,2,FALSE)</f>
        <v>azhar.azhar@muf.co.id</v>
      </c>
      <c r="J67" s="121">
        <f>VLOOKUP(D67,'MAPPING MD &amp; SKENARIO'!B:D,3,FALSE)</f>
        <v>0.65</v>
      </c>
      <c r="K67" s="121">
        <f t="shared" si="0"/>
        <v>0.32500000000000001</v>
      </c>
      <c r="L67" s="121">
        <v>1</v>
      </c>
      <c r="M67" s="127">
        <f t="shared" si="1"/>
        <v>2</v>
      </c>
      <c r="P67" s="78"/>
      <c r="R67" s="118"/>
    </row>
    <row r="68" spans="1:18" s="77" customFormat="1" ht="43.2">
      <c r="A68" s="80">
        <v>65</v>
      </c>
      <c r="B68" s="120" t="s">
        <v>401</v>
      </c>
      <c r="C68" s="158"/>
      <c r="D68" s="92" t="s">
        <v>32</v>
      </c>
      <c r="E68" s="92" t="s">
        <v>320</v>
      </c>
      <c r="F68" s="92" t="s">
        <v>321</v>
      </c>
      <c r="G68" s="92" t="s">
        <v>322</v>
      </c>
      <c r="H68" s="120" t="str">
        <f>VLOOKUP(LEFT(B68,FIND("-",B68)-1),'MAPPING MD &amp; SKENARIO'!$H$2:$I$42,2,FALSE)</f>
        <v>Azhar</v>
      </c>
      <c r="I68" s="92" t="str">
        <f>VLOOKUP(H68,'MAPPING MD &amp; SKENARIO'!$I$2:$J$42,2,FALSE)</f>
        <v>azhar.azhar@muf.co.id</v>
      </c>
      <c r="J68" s="121">
        <f>VLOOKUP(D68,'MAPPING MD &amp; SKENARIO'!B:D,3,FALSE)</f>
        <v>0.65</v>
      </c>
      <c r="K68" s="121">
        <f t="shared" ref="K68:K129" si="2">J68*50%</f>
        <v>0.32500000000000001</v>
      </c>
      <c r="L68" s="121">
        <v>1</v>
      </c>
      <c r="M68" s="127">
        <f t="shared" si="1"/>
        <v>2</v>
      </c>
      <c r="P68" s="78"/>
      <c r="R68" s="118"/>
    </row>
    <row r="69" spans="1:18" s="77" customFormat="1" ht="81.75" customHeight="1">
      <c r="A69" s="80">
        <v>66</v>
      </c>
      <c r="B69" s="120" t="s">
        <v>402</v>
      </c>
      <c r="C69" s="158" t="s">
        <v>148</v>
      </c>
      <c r="D69" s="92" t="s">
        <v>6</v>
      </c>
      <c r="E69" s="92" t="s">
        <v>276</v>
      </c>
      <c r="F69" s="92" t="s">
        <v>277</v>
      </c>
      <c r="G69" s="92" t="s">
        <v>278</v>
      </c>
      <c r="H69" s="120" t="str">
        <f>VLOOKUP(LEFT(B69,FIND("-",B69)-1),'MAPPING MD &amp; SKENARIO'!$H$2:$I$42,2,FALSE)</f>
        <v>Affinia</v>
      </c>
      <c r="I69" s="92" t="str">
        <f>VLOOKUP(H69,'MAPPING MD &amp; SKENARIO'!$I$2:$J$42,2,FALSE)</f>
        <v>affinia.by@muf.co.id</v>
      </c>
      <c r="J69" s="121">
        <f>VLOOKUP(D69,'MAPPING MD &amp; SKENARIO'!B:D,3,FALSE)</f>
        <v>1.3</v>
      </c>
      <c r="K69" s="121">
        <f t="shared" si="2"/>
        <v>0.65</v>
      </c>
      <c r="L69" s="121">
        <v>1</v>
      </c>
      <c r="M69" s="127">
        <f t="shared" ref="M69:M132" si="3">ROUNDUP(SUM(J69:L69),0)</f>
        <v>3</v>
      </c>
      <c r="P69" s="78"/>
      <c r="R69" s="118"/>
    </row>
    <row r="70" spans="1:18" s="77" customFormat="1" ht="72" customHeight="1">
      <c r="A70" s="80">
        <v>67</v>
      </c>
      <c r="B70" s="120" t="s">
        <v>403</v>
      </c>
      <c r="C70" s="158"/>
      <c r="D70" s="92" t="s">
        <v>8</v>
      </c>
      <c r="E70" s="92" t="s">
        <v>280</v>
      </c>
      <c r="F70" s="92" t="s">
        <v>281</v>
      </c>
      <c r="G70" s="92" t="s">
        <v>282</v>
      </c>
      <c r="H70" s="120" t="str">
        <f>VLOOKUP(LEFT(B70,FIND("-",B70)-1),'MAPPING MD &amp; SKENARIO'!$H$2:$I$42,2,FALSE)</f>
        <v>Affinia</v>
      </c>
      <c r="I70" s="92" t="str">
        <f>VLOOKUP(H70,'MAPPING MD &amp; SKENARIO'!$I$2:$J$42,2,FALSE)</f>
        <v>affinia.by@muf.co.id</v>
      </c>
      <c r="J70" s="121">
        <f>VLOOKUP(D70,'MAPPING MD &amp; SKENARIO'!B:D,3,FALSE)</f>
        <v>1.95</v>
      </c>
      <c r="K70" s="121">
        <f t="shared" si="2"/>
        <v>0.97499999999999998</v>
      </c>
      <c r="L70" s="121">
        <v>1</v>
      </c>
      <c r="M70" s="127">
        <f t="shared" si="3"/>
        <v>4</v>
      </c>
      <c r="P70" s="78"/>
      <c r="R70" s="118"/>
    </row>
    <row r="71" spans="1:18" s="77" customFormat="1" ht="57.75" customHeight="1">
      <c r="A71" s="80">
        <v>68</v>
      </c>
      <c r="B71" s="120" t="s">
        <v>404</v>
      </c>
      <c r="C71" s="158"/>
      <c r="D71" s="92" t="s">
        <v>10</v>
      </c>
      <c r="E71" s="92" t="s">
        <v>284</v>
      </c>
      <c r="F71" s="92" t="s">
        <v>285</v>
      </c>
      <c r="G71" s="92" t="s">
        <v>286</v>
      </c>
      <c r="H71" s="120" t="str">
        <f>VLOOKUP(LEFT(B71,FIND("-",B71)-1),'MAPPING MD &amp; SKENARIO'!$H$2:$I$42,2,FALSE)</f>
        <v>Affinia</v>
      </c>
      <c r="I71" s="92" t="str">
        <f>VLOOKUP(H71,'MAPPING MD &amp; SKENARIO'!$I$2:$J$42,2,FALSE)</f>
        <v>affinia.by@muf.co.id</v>
      </c>
      <c r="J71" s="121">
        <f>VLOOKUP(D71,'MAPPING MD &amp; SKENARIO'!B:D,3,FALSE)</f>
        <v>0.26</v>
      </c>
      <c r="K71" s="121">
        <f t="shared" si="2"/>
        <v>0.13</v>
      </c>
      <c r="L71" s="121">
        <v>1</v>
      </c>
      <c r="M71" s="127">
        <f t="shared" si="3"/>
        <v>2</v>
      </c>
      <c r="P71" s="78"/>
      <c r="R71" s="118"/>
    </row>
    <row r="72" spans="1:18" s="77" customFormat="1" ht="115.2">
      <c r="A72" s="80">
        <v>69</v>
      </c>
      <c r="B72" s="120" t="s">
        <v>405</v>
      </c>
      <c r="C72" s="158"/>
      <c r="D72" s="92" t="s">
        <v>12</v>
      </c>
      <c r="E72" s="92" t="s">
        <v>327</v>
      </c>
      <c r="F72" s="92" t="s">
        <v>391</v>
      </c>
      <c r="G72" s="92" t="s">
        <v>290</v>
      </c>
      <c r="H72" s="120" t="str">
        <f>VLOOKUP(LEFT(B72,FIND("-",B72)-1),'MAPPING MD &amp; SKENARIO'!$H$2:$I$42,2,FALSE)</f>
        <v>Affinia</v>
      </c>
      <c r="I72" s="92" t="str">
        <f>VLOOKUP(H72,'MAPPING MD &amp; SKENARIO'!$I$2:$J$42,2,FALSE)</f>
        <v>affinia.by@muf.co.id</v>
      </c>
      <c r="J72" s="121">
        <f>VLOOKUP(D72,'MAPPING MD &amp; SKENARIO'!B:D,3,FALSE)</f>
        <v>1.3</v>
      </c>
      <c r="K72" s="121">
        <f t="shared" si="2"/>
        <v>0.65</v>
      </c>
      <c r="L72" s="121">
        <v>1</v>
      </c>
      <c r="M72" s="127">
        <f t="shared" si="3"/>
        <v>3</v>
      </c>
      <c r="P72" s="78"/>
      <c r="R72" s="118"/>
    </row>
    <row r="73" spans="1:18" s="77" customFormat="1" ht="158.4">
      <c r="A73" s="80">
        <v>70</v>
      </c>
      <c r="B73" s="120" t="s">
        <v>406</v>
      </c>
      <c r="C73" s="158"/>
      <c r="D73" s="92" t="s">
        <v>14</v>
      </c>
      <c r="E73" s="92" t="s">
        <v>330</v>
      </c>
      <c r="F73" s="92" t="s">
        <v>293</v>
      </c>
      <c r="G73" s="92" t="s">
        <v>294</v>
      </c>
      <c r="H73" s="120" t="str">
        <f>VLOOKUP(LEFT(B73,FIND("-",B73)-1),'MAPPING MD &amp; SKENARIO'!$H$2:$I$42,2,FALSE)</f>
        <v>Affinia</v>
      </c>
      <c r="I73" s="92" t="str">
        <f>VLOOKUP(H73,'MAPPING MD &amp; SKENARIO'!$I$2:$J$42,2,FALSE)</f>
        <v>affinia.by@muf.co.id</v>
      </c>
      <c r="J73" s="121">
        <f>VLOOKUP(D73,'MAPPING MD &amp; SKENARIO'!B:D,3,FALSE)</f>
        <v>2.6</v>
      </c>
      <c r="K73" s="121">
        <f t="shared" si="2"/>
        <v>1.3</v>
      </c>
      <c r="L73" s="121">
        <v>1</v>
      </c>
      <c r="M73" s="127">
        <f t="shared" si="3"/>
        <v>5</v>
      </c>
      <c r="P73" s="78"/>
      <c r="R73" s="118"/>
    </row>
    <row r="74" spans="1:18" s="77" customFormat="1" ht="144">
      <c r="A74" s="80">
        <v>71</v>
      </c>
      <c r="B74" s="120" t="s">
        <v>407</v>
      </c>
      <c r="C74" s="158"/>
      <c r="D74" s="92" t="s">
        <v>16</v>
      </c>
      <c r="E74" s="92" t="s">
        <v>394</v>
      </c>
      <c r="F74" s="92" t="s">
        <v>395</v>
      </c>
      <c r="G74" s="92" t="s">
        <v>298</v>
      </c>
      <c r="H74" s="120" t="str">
        <f>VLOOKUP(LEFT(B74,FIND("-",B74)-1),'MAPPING MD &amp; SKENARIO'!$H$2:$I$42,2,FALSE)</f>
        <v>Affinia</v>
      </c>
      <c r="I74" s="92" t="str">
        <f>VLOOKUP(H74,'MAPPING MD &amp; SKENARIO'!$I$2:$J$42,2,FALSE)</f>
        <v>affinia.by@muf.co.id</v>
      </c>
      <c r="J74" s="121">
        <f>VLOOKUP(D74,'MAPPING MD &amp; SKENARIO'!B:D,3,FALSE)</f>
        <v>1.3</v>
      </c>
      <c r="K74" s="121">
        <f t="shared" si="2"/>
        <v>0.65</v>
      </c>
      <c r="L74" s="121">
        <v>1</v>
      </c>
      <c r="M74" s="127">
        <f t="shared" si="3"/>
        <v>3</v>
      </c>
      <c r="P74" s="78"/>
      <c r="R74" s="118"/>
    </row>
    <row r="75" spans="1:18" s="77" customFormat="1" ht="57.6">
      <c r="A75" s="80">
        <v>72</v>
      </c>
      <c r="B75" s="120" t="s">
        <v>408</v>
      </c>
      <c r="C75" s="158"/>
      <c r="D75" s="92" t="s">
        <v>34</v>
      </c>
      <c r="E75" s="92" t="s">
        <v>340</v>
      </c>
      <c r="F75" s="92" t="s">
        <v>341</v>
      </c>
      <c r="G75" s="92" t="s">
        <v>342</v>
      </c>
      <c r="H75" s="120" t="str">
        <f>VLOOKUP(LEFT(B75,FIND("-",B75)-1),'MAPPING MD &amp; SKENARIO'!$H$2:$I$42,2,FALSE)</f>
        <v>Affinia</v>
      </c>
      <c r="I75" s="92" t="str">
        <f>VLOOKUP(H75,'MAPPING MD &amp; SKENARIO'!$I$2:$J$42,2,FALSE)</f>
        <v>affinia.by@muf.co.id</v>
      </c>
      <c r="J75" s="121">
        <f>VLOOKUP(D75,'MAPPING MD &amp; SKENARIO'!B:D,3,FALSE)</f>
        <v>1.95</v>
      </c>
      <c r="K75" s="121">
        <f t="shared" si="2"/>
        <v>0.97499999999999998</v>
      </c>
      <c r="L75" s="121">
        <v>1</v>
      </c>
      <c r="M75" s="127">
        <f t="shared" si="3"/>
        <v>4</v>
      </c>
      <c r="P75" s="78"/>
      <c r="R75" s="118"/>
    </row>
    <row r="76" spans="1:18" s="77" customFormat="1" ht="87.75" customHeight="1">
      <c r="A76" s="80">
        <v>73</v>
      </c>
      <c r="B76" s="120" t="s">
        <v>409</v>
      </c>
      <c r="C76" s="158"/>
      <c r="D76" s="92" t="s">
        <v>18</v>
      </c>
      <c r="E76" s="92" t="s">
        <v>344</v>
      </c>
      <c r="F76" s="92" t="s">
        <v>301</v>
      </c>
      <c r="G76" s="92" t="s">
        <v>302</v>
      </c>
      <c r="H76" s="120" t="str">
        <f>VLOOKUP(LEFT(B76,FIND("-",B76)-1),'MAPPING MD &amp; SKENARIO'!$H$2:$I$42,2,FALSE)</f>
        <v>Affinia</v>
      </c>
      <c r="I76" s="92" t="str">
        <f>VLOOKUP(H76,'MAPPING MD &amp; SKENARIO'!$I$2:$J$42,2,FALSE)</f>
        <v>affinia.by@muf.co.id</v>
      </c>
      <c r="J76" s="121">
        <f>VLOOKUP(D76,'MAPPING MD &amp; SKENARIO'!B:D,3,FALSE)</f>
        <v>2.6</v>
      </c>
      <c r="K76" s="121">
        <f t="shared" si="2"/>
        <v>1.3</v>
      </c>
      <c r="L76" s="121">
        <v>1</v>
      </c>
      <c r="M76" s="127">
        <f t="shared" si="3"/>
        <v>5</v>
      </c>
      <c r="P76" s="78"/>
      <c r="R76" s="118"/>
    </row>
    <row r="77" spans="1:18" s="77" customFormat="1" ht="65.25" customHeight="1">
      <c r="A77" s="80">
        <v>74</v>
      </c>
      <c r="B77" s="120" t="s">
        <v>410</v>
      </c>
      <c r="C77" s="158"/>
      <c r="D77" s="92" t="s">
        <v>24</v>
      </c>
      <c r="E77" s="92" t="s">
        <v>304</v>
      </c>
      <c r="F77" s="92" t="s">
        <v>305</v>
      </c>
      <c r="G77" s="92" t="s">
        <v>306</v>
      </c>
      <c r="H77" s="120" t="str">
        <f>VLOOKUP(LEFT(B77,FIND("-",B77)-1),'MAPPING MD &amp; SKENARIO'!$H$2:$I$42,2,FALSE)</f>
        <v>Affinia</v>
      </c>
      <c r="I77" s="92" t="str">
        <f>VLOOKUP(H77,'MAPPING MD &amp; SKENARIO'!$I$2:$J$42,2,FALSE)</f>
        <v>affinia.by@muf.co.id</v>
      </c>
      <c r="J77" s="121">
        <f>VLOOKUP(D77,'MAPPING MD &amp; SKENARIO'!B:D,3,FALSE)</f>
        <v>0.65</v>
      </c>
      <c r="K77" s="121">
        <f t="shared" si="2"/>
        <v>0.32500000000000001</v>
      </c>
      <c r="L77" s="121">
        <v>1</v>
      </c>
      <c r="M77" s="127">
        <f t="shared" si="3"/>
        <v>2</v>
      </c>
      <c r="P77" s="78"/>
      <c r="R77" s="118"/>
    </row>
    <row r="78" spans="1:18" s="77" customFormat="1" ht="57.6">
      <c r="A78" s="80">
        <v>75</v>
      </c>
      <c r="B78" s="120" t="s">
        <v>411</v>
      </c>
      <c r="C78" s="158"/>
      <c r="D78" s="92" t="s">
        <v>26</v>
      </c>
      <c r="E78" s="92" t="s">
        <v>308</v>
      </c>
      <c r="F78" s="92" t="s">
        <v>412</v>
      </c>
      <c r="G78" s="92" t="s">
        <v>413</v>
      </c>
      <c r="H78" s="120" t="str">
        <f>VLOOKUP(LEFT(B78,FIND("-",B78)-1),'MAPPING MD &amp; SKENARIO'!$H$2:$I$42,2,FALSE)</f>
        <v>Affinia</v>
      </c>
      <c r="I78" s="92" t="str">
        <f>VLOOKUP(H78,'MAPPING MD &amp; SKENARIO'!$I$2:$J$42,2,FALSE)</f>
        <v>affinia.by@muf.co.id</v>
      </c>
      <c r="J78" s="121">
        <f>VLOOKUP(D78,'MAPPING MD &amp; SKENARIO'!B:D,3,FALSE)</f>
        <v>2.6</v>
      </c>
      <c r="K78" s="121">
        <f t="shared" si="2"/>
        <v>1.3</v>
      </c>
      <c r="L78" s="121">
        <v>1</v>
      </c>
      <c r="M78" s="127">
        <f t="shared" si="3"/>
        <v>5</v>
      </c>
      <c r="P78" s="78"/>
      <c r="R78" s="118"/>
    </row>
    <row r="79" spans="1:18" s="77" customFormat="1" ht="28.8">
      <c r="A79" s="80">
        <v>76</v>
      </c>
      <c r="B79" s="120" t="s">
        <v>414</v>
      </c>
      <c r="C79" s="158"/>
      <c r="D79" s="92" t="s">
        <v>36</v>
      </c>
      <c r="E79" s="92" t="s">
        <v>415</v>
      </c>
      <c r="F79" s="92" t="s">
        <v>416</v>
      </c>
      <c r="G79" s="92" t="s">
        <v>417</v>
      </c>
      <c r="H79" s="120" t="str">
        <f>VLOOKUP(LEFT(B79,FIND("-",B79)-1),'MAPPING MD &amp; SKENARIO'!$H$2:$I$42,2,FALSE)</f>
        <v>Affinia</v>
      </c>
      <c r="I79" s="92" t="str">
        <f>VLOOKUP(H79,'MAPPING MD &amp; SKENARIO'!$I$2:$J$42,2,FALSE)</f>
        <v>affinia.by@muf.co.id</v>
      </c>
      <c r="J79" s="121">
        <f>VLOOKUP(D79,'MAPPING MD &amp; SKENARIO'!B:D,3,FALSE)</f>
        <v>0.65</v>
      </c>
      <c r="K79" s="121">
        <f t="shared" si="2"/>
        <v>0.32500000000000001</v>
      </c>
      <c r="L79" s="121">
        <v>1</v>
      </c>
      <c r="M79" s="127">
        <f t="shared" si="3"/>
        <v>2</v>
      </c>
      <c r="P79" s="78"/>
      <c r="R79" s="118"/>
    </row>
    <row r="80" spans="1:18" s="77" customFormat="1" ht="87" customHeight="1">
      <c r="A80" s="80">
        <v>77</v>
      </c>
      <c r="B80" s="120" t="s">
        <v>418</v>
      </c>
      <c r="C80" s="158"/>
      <c r="D80" s="92" t="s">
        <v>38</v>
      </c>
      <c r="E80" s="92" t="s">
        <v>348</v>
      </c>
      <c r="F80" s="92" t="s">
        <v>419</v>
      </c>
      <c r="G80" s="92" t="s">
        <v>420</v>
      </c>
      <c r="H80" s="120" t="str">
        <f>VLOOKUP(LEFT(B80,FIND("-",B80)-1),'MAPPING MD &amp; SKENARIO'!$H$2:$I$42,2,FALSE)</f>
        <v>Affinia</v>
      </c>
      <c r="I80" s="92" t="str">
        <f>VLOOKUP(H80,'MAPPING MD &amp; SKENARIO'!$I$2:$J$42,2,FALSE)</f>
        <v>affinia.by@muf.co.id</v>
      </c>
      <c r="J80" s="121">
        <f>VLOOKUP(D80,'MAPPING MD &amp; SKENARIO'!B:D,3,FALSE)</f>
        <v>1.95</v>
      </c>
      <c r="K80" s="121">
        <f t="shared" si="2"/>
        <v>0.97499999999999998</v>
      </c>
      <c r="L80" s="121">
        <v>1</v>
      </c>
      <c r="M80" s="127">
        <f t="shared" si="3"/>
        <v>4</v>
      </c>
      <c r="P80" s="78"/>
      <c r="R80" s="118"/>
    </row>
    <row r="81" spans="1:18" s="77" customFormat="1" ht="64.5" customHeight="1">
      <c r="A81" s="80">
        <v>78</v>
      </c>
      <c r="B81" s="120" t="s">
        <v>421</v>
      </c>
      <c r="C81" s="158"/>
      <c r="D81" s="92" t="s">
        <v>34</v>
      </c>
      <c r="E81" s="92" t="s">
        <v>422</v>
      </c>
      <c r="F81" s="92" t="s">
        <v>423</v>
      </c>
      <c r="G81" s="92" t="s">
        <v>424</v>
      </c>
      <c r="H81" s="120" t="str">
        <f>VLOOKUP(LEFT(B81,FIND("-",B81)-1),'MAPPING MD &amp; SKENARIO'!$H$2:$I$42,2,FALSE)</f>
        <v>Affinia</v>
      </c>
      <c r="I81" s="92" t="str">
        <f>VLOOKUP(H81,'MAPPING MD &amp; SKENARIO'!$I$2:$J$42,2,FALSE)</f>
        <v>affinia.by@muf.co.id</v>
      </c>
      <c r="J81" s="121">
        <f>VLOOKUP(D81,'MAPPING MD &amp; SKENARIO'!B:D,3,FALSE)</f>
        <v>1.95</v>
      </c>
      <c r="K81" s="121">
        <f t="shared" si="2"/>
        <v>0.97499999999999998</v>
      </c>
      <c r="L81" s="121">
        <v>1</v>
      </c>
      <c r="M81" s="127">
        <f t="shared" si="3"/>
        <v>4</v>
      </c>
      <c r="P81" s="78"/>
      <c r="R81" s="118"/>
    </row>
    <row r="82" spans="1:18" s="77" customFormat="1" ht="72">
      <c r="A82" s="80">
        <v>79</v>
      </c>
      <c r="B82" s="120" t="s">
        <v>425</v>
      </c>
      <c r="C82" s="158"/>
      <c r="D82" s="92" t="s">
        <v>18</v>
      </c>
      <c r="E82" s="92" t="s">
        <v>344</v>
      </c>
      <c r="F82" s="92" t="s">
        <v>301</v>
      </c>
      <c r="G82" s="92" t="s">
        <v>302</v>
      </c>
      <c r="H82" s="120" t="str">
        <f>VLOOKUP(LEFT(B82,FIND("-",B82)-1),'MAPPING MD &amp; SKENARIO'!$H$2:$I$42,2,FALSE)</f>
        <v>Affinia</v>
      </c>
      <c r="I82" s="92" t="str">
        <f>VLOOKUP(H82,'MAPPING MD &amp; SKENARIO'!$I$2:$J$42,2,FALSE)</f>
        <v>affinia.by@muf.co.id</v>
      </c>
      <c r="J82" s="121">
        <f>VLOOKUP(D82,'MAPPING MD &amp; SKENARIO'!B:D,3,FALSE)</f>
        <v>2.6</v>
      </c>
      <c r="K82" s="121">
        <f t="shared" si="2"/>
        <v>1.3</v>
      </c>
      <c r="L82" s="121">
        <v>1</v>
      </c>
      <c r="M82" s="127">
        <f t="shared" si="3"/>
        <v>5</v>
      </c>
      <c r="P82" s="78"/>
      <c r="R82" s="118"/>
    </row>
    <row r="83" spans="1:18" s="77" customFormat="1" ht="57.6">
      <c r="A83" s="80">
        <v>80</v>
      </c>
      <c r="B83" s="120" t="s">
        <v>426</v>
      </c>
      <c r="C83" s="158"/>
      <c r="D83" s="92" t="s">
        <v>24</v>
      </c>
      <c r="E83" s="92" t="s">
        <v>304</v>
      </c>
      <c r="F83" s="92" t="s">
        <v>305</v>
      </c>
      <c r="G83" s="92" t="s">
        <v>306</v>
      </c>
      <c r="H83" s="120" t="str">
        <f>VLOOKUP(LEFT(B83,FIND("-",B83)-1),'MAPPING MD &amp; SKENARIO'!$H$2:$I$42,2,FALSE)</f>
        <v>Affinia</v>
      </c>
      <c r="I83" s="92" t="str">
        <f>VLOOKUP(H83,'MAPPING MD &amp; SKENARIO'!$I$2:$J$42,2,FALSE)</f>
        <v>affinia.by@muf.co.id</v>
      </c>
      <c r="J83" s="121">
        <f>VLOOKUP(D83,'MAPPING MD &amp; SKENARIO'!B:D,3,FALSE)</f>
        <v>0.65</v>
      </c>
      <c r="K83" s="121">
        <f t="shared" si="2"/>
        <v>0.32500000000000001</v>
      </c>
      <c r="L83" s="121">
        <v>1</v>
      </c>
      <c r="M83" s="127">
        <f t="shared" si="3"/>
        <v>2</v>
      </c>
      <c r="P83" s="78"/>
      <c r="R83" s="118"/>
    </row>
    <row r="84" spans="1:18" s="77" customFormat="1" ht="86.4">
      <c r="A84" s="80">
        <v>81</v>
      </c>
      <c r="B84" s="120" t="s">
        <v>427</v>
      </c>
      <c r="C84" s="158"/>
      <c r="D84" s="92" t="s">
        <v>26</v>
      </c>
      <c r="E84" s="92" t="s">
        <v>308</v>
      </c>
      <c r="F84" s="92" t="s">
        <v>309</v>
      </c>
      <c r="G84" s="92" t="s">
        <v>310</v>
      </c>
      <c r="H84" s="120" t="str">
        <f>VLOOKUP(LEFT(B84,FIND("-",B84)-1),'MAPPING MD &amp; SKENARIO'!$H$2:$I$42,2,FALSE)</f>
        <v>Affinia</v>
      </c>
      <c r="I84" s="92" t="str">
        <f>VLOOKUP(H84,'MAPPING MD &amp; SKENARIO'!$I$2:$J$42,2,FALSE)</f>
        <v>affinia.by@muf.co.id</v>
      </c>
      <c r="J84" s="121">
        <f>VLOOKUP(D84,'MAPPING MD &amp; SKENARIO'!B:D,3,FALSE)</f>
        <v>2.6</v>
      </c>
      <c r="K84" s="121">
        <f t="shared" si="2"/>
        <v>1.3</v>
      </c>
      <c r="L84" s="121">
        <v>1</v>
      </c>
      <c r="M84" s="127">
        <f t="shared" si="3"/>
        <v>5</v>
      </c>
      <c r="P84" s="78"/>
      <c r="R84" s="118"/>
    </row>
    <row r="85" spans="1:18" s="77" customFormat="1" ht="100.8">
      <c r="A85" s="80">
        <v>82</v>
      </c>
      <c r="B85" s="120" t="s">
        <v>428</v>
      </c>
      <c r="C85" s="158"/>
      <c r="D85" s="92" t="s">
        <v>28</v>
      </c>
      <c r="E85" s="92" t="s">
        <v>312</v>
      </c>
      <c r="F85" s="92" t="s">
        <v>313</v>
      </c>
      <c r="G85" s="92" t="s">
        <v>314</v>
      </c>
      <c r="H85" s="120" t="str">
        <f>VLOOKUP(LEFT(B85,FIND("-",B85)-1),'MAPPING MD &amp; SKENARIO'!$H$2:$I$42,2,FALSE)</f>
        <v>Affinia</v>
      </c>
      <c r="I85" s="92" t="str">
        <f>VLOOKUP(H85,'MAPPING MD &amp; SKENARIO'!$I$2:$J$42,2,FALSE)</f>
        <v>affinia.by@muf.co.id</v>
      </c>
      <c r="J85" s="121">
        <f>VLOOKUP(D85,'MAPPING MD &amp; SKENARIO'!B:D,3,FALSE)</f>
        <v>1.95</v>
      </c>
      <c r="K85" s="121">
        <f t="shared" si="2"/>
        <v>0.97499999999999998</v>
      </c>
      <c r="L85" s="121">
        <v>1</v>
      </c>
      <c r="M85" s="127">
        <f t="shared" si="3"/>
        <v>4</v>
      </c>
      <c r="P85" s="78"/>
      <c r="R85" s="118"/>
    </row>
    <row r="86" spans="1:18" s="77" customFormat="1" ht="28.8">
      <c r="A86" s="80">
        <v>83</v>
      </c>
      <c r="B86" s="120" t="s">
        <v>429</v>
      </c>
      <c r="C86" s="158"/>
      <c r="D86" s="92" t="s">
        <v>30</v>
      </c>
      <c r="E86" s="92" t="s">
        <v>316</v>
      </c>
      <c r="F86" s="92" t="s">
        <v>317</v>
      </c>
      <c r="G86" s="92" t="s">
        <v>318</v>
      </c>
      <c r="H86" s="120" t="str">
        <f>VLOOKUP(LEFT(B86,FIND("-",B86)-1),'MAPPING MD &amp; SKENARIO'!$H$2:$I$42,2,FALSE)</f>
        <v>Affinia</v>
      </c>
      <c r="I86" s="92" t="str">
        <f>VLOOKUP(H86,'MAPPING MD &amp; SKENARIO'!$I$2:$J$42,2,FALSE)</f>
        <v>affinia.by@muf.co.id</v>
      </c>
      <c r="J86" s="121">
        <f>VLOOKUP(D86,'MAPPING MD &amp; SKENARIO'!B:D,3,FALSE)</f>
        <v>0.65</v>
      </c>
      <c r="K86" s="121">
        <f t="shared" si="2"/>
        <v>0.32500000000000001</v>
      </c>
      <c r="L86" s="121">
        <v>1</v>
      </c>
      <c r="M86" s="127">
        <f t="shared" si="3"/>
        <v>2</v>
      </c>
      <c r="P86" s="78"/>
      <c r="R86" s="118"/>
    </row>
    <row r="87" spans="1:18" s="77" customFormat="1" ht="43.2">
      <c r="A87" s="80">
        <v>84</v>
      </c>
      <c r="B87" s="120" t="s">
        <v>430</v>
      </c>
      <c r="C87" s="158"/>
      <c r="D87" s="92" t="s">
        <v>32</v>
      </c>
      <c r="E87" s="92" t="s">
        <v>320</v>
      </c>
      <c r="F87" s="92" t="s">
        <v>321</v>
      </c>
      <c r="G87" s="92" t="s">
        <v>322</v>
      </c>
      <c r="H87" s="120" t="str">
        <f>VLOOKUP(LEFT(B87,FIND("-",B87)-1),'MAPPING MD &amp; SKENARIO'!$H$2:$I$42,2,FALSE)</f>
        <v>Affinia</v>
      </c>
      <c r="I87" s="92" t="str">
        <f>VLOOKUP(H87,'MAPPING MD &amp; SKENARIO'!$I$2:$J$42,2,FALSE)</f>
        <v>affinia.by@muf.co.id</v>
      </c>
      <c r="J87" s="121">
        <f>VLOOKUP(D87,'MAPPING MD &amp; SKENARIO'!B:D,3,FALSE)</f>
        <v>0.65</v>
      </c>
      <c r="K87" s="121">
        <f t="shared" si="2"/>
        <v>0.32500000000000001</v>
      </c>
      <c r="L87" s="121">
        <v>1</v>
      </c>
      <c r="M87" s="127">
        <f t="shared" si="3"/>
        <v>2</v>
      </c>
      <c r="P87" s="78"/>
      <c r="R87" s="118"/>
    </row>
    <row r="88" spans="1:18" s="77" customFormat="1" ht="72">
      <c r="A88" s="80">
        <v>85</v>
      </c>
      <c r="B88" s="120" t="s">
        <v>431</v>
      </c>
      <c r="C88" s="158" t="s">
        <v>152</v>
      </c>
      <c r="D88" s="92" t="s">
        <v>6</v>
      </c>
      <c r="E88" s="92" t="s">
        <v>276</v>
      </c>
      <c r="F88" s="92" t="s">
        <v>277</v>
      </c>
      <c r="G88" s="92" t="s">
        <v>278</v>
      </c>
      <c r="H88" s="120" t="str">
        <f>VLOOKUP(LEFT(B88,FIND("-",B88)-1),'MAPPING MD &amp; SKENARIO'!$H$2:$I$42,2,FALSE)</f>
        <v>Kevin</v>
      </c>
      <c r="I88" s="92" t="str">
        <f>VLOOKUP(H88,'MAPPING MD &amp; SKENARIO'!$I$2:$J$42,2,FALSE)</f>
        <v>kevin.hardianus@muf.co.id</v>
      </c>
      <c r="J88" s="121">
        <f>VLOOKUP(D88,'MAPPING MD &amp; SKENARIO'!B:D,3,FALSE)</f>
        <v>1.3</v>
      </c>
      <c r="K88" s="121">
        <f t="shared" si="2"/>
        <v>0.65</v>
      </c>
      <c r="L88" s="121">
        <v>1</v>
      </c>
      <c r="M88" s="127">
        <f t="shared" si="3"/>
        <v>3</v>
      </c>
      <c r="P88" s="78"/>
      <c r="R88" s="118"/>
    </row>
    <row r="89" spans="1:18" s="77" customFormat="1" ht="57.6">
      <c r="A89" s="80">
        <v>86</v>
      </c>
      <c r="B89" s="120" t="s">
        <v>432</v>
      </c>
      <c r="C89" s="158"/>
      <c r="D89" s="92" t="s">
        <v>8</v>
      </c>
      <c r="E89" s="92" t="s">
        <v>280</v>
      </c>
      <c r="F89" s="92" t="s">
        <v>281</v>
      </c>
      <c r="G89" s="92" t="s">
        <v>282</v>
      </c>
      <c r="H89" s="120" t="str">
        <f>VLOOKUP(LEFT(B89,FIND("-",B89)-1),'MAPPING MD &amp; SKENARIO'!$H$2:$I$42,2,FALSE)</f>
        <v>Kevin</v>
      </c>
      <c r="I89" s="92" t="str">
        <f>VLOOKUP(H89,'MAPPING MD &amp; SKENARIO'!$I$2:$J$42,2,FALSE)</f>
        <v>kevin.hardianus@muf.co.id</v>
      </c>
      <c r="J89" s="121">
        <f>VLOOKUP(D89,'MAPPING MD &amp; SKENARIO'!B:D,3,FALSE)</f>
        <v>1.95</v>
      </c>
      <c r="K89" s="121">
        <f t="shared" si="2"/>
        <v>0.97499999999999998</v>
      </c>
      <c r="L89" s="121">
        <v>1</v>
      </c>
      <c r="M89" s="127">
        <f t="shared" si="3"/>
        <v>4</v>
      </c>
      <c r="P89" s="78"/>
      <c r="R89" s="118"/>
    </row>
    <row r="90" spans="1:18" s="77" customFormat="1" ht="43.2">
      <c r="A90" s="80">
        <v>87</v>
      </c>
      <c r="B90" s="120" t="s">
        <v>433</v>
      </c>
      <c r="C90" s="158"/>
      <c r="D90" s="92" t="s">
        <v>10</v>
      </c>
      <c r="E90" s="92" t="s">
        <v>284</v>
      </c>
      <c r="F90" s="92" t="s">
        <v>285</v>
      </c>
      <c r="G90" s="92" t="s">
        <v>286</v>
      </c>
      <c r="H90" s="120" t="str">
        <f>VLOOKUP(LEFT(B90,FIND("-",B90)-1),'MAPPING MD &amp; SKENARIO'!$H$2:$I$42,2,FALSE)</f>
        <v>Kevin</v>
      </c>
      <c r="I90" s="92" t="str">
        <f>VLOOKUP(H90,'MAPPING MD &amp; SKENARIO'!$I$2:$J$42,2,FALSE)</f>
        <v>kevin.hardianus@muf.co.id</v>
      </c>
      <c r="J90" s="121">
        <f>VLOOKUP(D90,'MAPPING MD &amp; SKENARIO'!B:D,3,FALSE)</f>
        <v>0.26</v>
      </c>
      <c r="K90" s="121">
        <f t="shared" si="2"/>
        <v>0.13</v>
      </c>
      <c r="L90" s="121">
        <v>1</v>
      </c>
      <c r="M90" s="127">
        <f t="shared" si="3"/>
        <v>2</v>
      </c>
      <c r="P90" s="78"/>
      <c r="R90" s="118"/>
    </row>
    <row r="91" spans="1:18" s="77" customFormat="1" ht="115.2">
      <c r="A91" s="80">
        <v>88</v>
      </c>
      <c r="B91" s="120" t="s">
        <v>434</v>
      </c>
      <c r="C91" s="158"/>
      <c r="D91" s="92" t="s">
        <v>12</v>
      </c>
      <c r="E91" s="92" t="s">
        <v>288</v>
      </c>
      <c r="F91" s="92" t="s">
        <v>289</v>
      </c>
      <c r="G91" s="92" t="s">
        <v>290</v>
      </c>
      <c r="H91" s="120" t="str">
        <f>VLOOKUP(LEFT(B91,FIND("-",B91)-1),'MAPPING MD &amp; SKENARIO'!$H$2:$I$42,2,FALSE)</f>
        <v>Kevin</v>
      </c>
      <c r="I91" s="92" t="str">
        <f>VLOOKUP(H91,'MAPPING MD &amp; SKENARIO'!$I$2:$J$42,2,FALSE)</f>
        <v>kevin.hardianus@muf.co.id</v>
      </c>
      <c r="J91" s="121">
        <f>VLOOKUP(D91,'MAPPING MD &amp; SKENARIO'!B:D,3,FALSE)</f>
        <v>1.3</v>
      </c>
      <c r="K91" s="121">
        <f t="shared" si="2"/>
        <v>0.65</v>
      </c>
      <c r="L91" s="121">
        <v>1</v>
      </c>
      <c r="M91" s="127">
        <f t="shared" si="3"/>
        <v>3</v>
      </c>
      <c r="P91" s="78"/>
      <c r="R91" s="118"/>
    </row>
    <row r="92" spans="1:18" s="77" customFormat="1" ht="158.4">
      <c r="A92" s="80">
        <v>89</v>
      </c>
      <c r="B92" s="120" t="s">
        <v>435</v>
      </c>
      <c r="C92" s="158"/>
      <c r="D92" s="92" t="s">
        <v>14</v>
      </c>
      <c r="E92" s="92" t="s">
        <v>292</v>
      </c>
      <c r="F92" s="92" t="s">
        <v>293</v>
      </c>
      <c r="G92" s="92" t="s">
        <v>294</v>
      </c>
      <c r="H92" s="120" t="str">
        <f>VLOOKUP(LEFT(B92,FIND("-",B92)-1),'MAPPING MD &amp; SKENARIO'!$H$2:$I$42,2,FALSE)</f>
        <v>Kevin</v>
      </c>
      <c r="I92" s="92" t="str">
        <f>VLOOKUP(H92,'MAPPING MD &amp; SKENARIO'!$I$2:$J$42,2,FALSE)</f>
        <v>kevin.hardianus@muf.co.id</v>
      </c>
      <c r="J92" s="121">
        <f>VLOOKUP(D92,'MAPPING MD &amp; SKENARIO'!B:D,3,FALSE)</f>
        <v>2.6</v>
      </c>
      <c r="K92" s="121">
        <f t="shared" si="2"/>
        <v>1.3</v>
      </c>
      <c r="L92" s="121">
        <v>1</v>
      </c>
      <c r="M92" s="127">
        <f t="shared" si="3"/>
        <v>5</v>
      </c>
      <c r="P92" s="78"/>
      <c r="R92" s="118"/>
    </row>
    <row r="93" spans="1:18" s="77" customFormat="1" ht="144">
      <c r="A93" s="80">
        <v>90</v>
      </c>
      <c r="B93" s="120" t="s">
        <v>436</v>
      </c>
      <c r="C93" s="158"/>
      <c r="D93" s="92" t="s">
        <v>16</v>
      </c>
      <c r="E93" s="92" t="s">
        <v>296</v>
      </c>
      <c r="F93" s="92" t="s">
        <v>297</v>
      </c>
      <c r="G93" s="92" t="s">
        <v>298</v>
      </c>
      <c r="H93" s="120" t="str">
        <f>VLOOKUP(LEFT(B93,FIND("-",B93)-1),'MAPPING MD &amp; SKENARIO'!$H$2:$I$42,2,FALSE)</f>
        <v>Kevin</v>
      </c>
      <c r="I93" s="92" t="str">
        <f>VLOOKUP(H93,'MAPPING MD &amp; SKENARIO'!$I$2:$J$42,2,FALSE)</f>
        <v>kevin.hardianus@muf.co.id</v>
      </c>
      <c r="J93" s="121">
        <f>VLOOKUP(D93,'MAPPING MD &amp; SKENARIO'!B:D,3,FALSE)</f>
        <v>1.3</v>
      </c>
      <c r="K93" s="121">
        <f t="shared" si="2"/>
        <v>0.65</v>
      </c>
      <c r="L93" s="121">
        <v>1</v>
      </c>
      <c r="M93" s="127">
        <f t="shared" si="3"/>
        <v>3</v>
      </c>
      <c r="P93" s="78"/>
      <c r="R93" s="118"/>
    </row>
    <row r="94" spans="1:18" s="77" customFormat="1" ht="72">
      <c r="A94" s="80">
        <v>91</v>
      </c>
      <c r="B94" s="120" t="s">
        <v>437</v>
      </c>
      <c r="C94" s="158"/>
      <c r="D94" s="92" t="s">
        <v>18</v>
      </c>
      <c r="E94" s="92" t="s">
        <v>300</v>
      </c>
      <c r="F94" s="92" t="s">
        <v>301</v>
      </c>
      <c r="G94" s="92" t="s">
        <v>302</v>
      </c>
      <c r="H94" s="120" t="str">
        <f>VLOOKUP(LEFT(B94,FIND("-",B94)-1),'MAPPING MD &amp; SKENARIO'!$H$2:$I$42,2,FALSE)</f>
        <v>Kevin</v>
      </c>
      <c r="I94" s="92" t="str">
        <f>VLOOKUP(H94,'MAPPING MD &amp; SKENARIO'!$I$2:$J$42,2,FALSE)</f>
        <v>kevin.hardianus@muf.co.id</v>
      </c>
      <c r="J94" s="121">
        <f>VLOOKUP(D94,'MAPPING MD &amp; SKENARIO'!B:D,3,FALSE)</f>
        <v>2.6</v>
      </c>
      <c r="K94" s="121">
        <f t="shared" si="2"/>
        <v>1.3</v>
      </c>
      <c r="L94" s="121">
        <v>1</v>
      </c>
      <c r="M94" s="127">
        <f t="shared" si="3"/>
        <v>5</v>
      </c>
      <c r="P94" s="78"/>
      <c r="R94" s="118"/>
    </row>
    <row r="95" spans="1:18" s="77" customFormat="1" ht="57.6">
      <c r="A95" s="80">
        <v>92</v>
      </c>
      <c r="B95" s="120" t="s">
        <v>438</v>
      </c>
      <c r="C95" s="158"/>
      <c r="D95" s="92" t="s">
        <v>24</v>
      </c>
      <c r="E95" s="92" t="s">
        <v>304</v>
      </c>
      <c r="F95" s="92" t="s">
        <v>305</v>
      </c>
      <c r="G95" s="92" t="s">
        <v>306</v>
      </c>
      <c r="H95" s="120" t="str">
        <f>VLOOKUP(LEFT(B95,FIND("-",B95)-1),'MAPPING MD &amp; SKENARIO'!$H$2:$I$42,2,FALSE)</f>
        <v>Kevin</v>
      </c>
      <c r="I95" s="92" t="str">
        <f>VLOOKUP(H95,'MAPPING MD &amp; SKENARIO'!$I$2:$J$42,2,FALSE)</f>
        <v>kevin.hardianus@muf.co.id</v>
      </c>
      <c r="J95" s="121">
        <f>VLOOKUP(D95,'MAPPING MD &amp; SKENARIO'!B:D,3,FALSE)</f>
        <v>0.65</v>
      </c>
      <c r="K95" s="121">
        <f t="shared" si="2"/>
        <v>0.32500000000000001</v>
      </c>
      <c r="L95" s="121">
        <v>1</v>
      </c>
      <c r="M95" s="127">
        <f t="shared" si="3"/>
        <v>2</v>
      </c>
      <c r="P95" s="78"/>
      <c r="R95" s="118"/>
    </row>
    <row r="96" spans="1:18" s="77" customFormat="1" ht="86.4">
      <c r="A96" s="80">
        <v>93</v>
      </c>
      <c r="B96" s="120" t="s">
        <v>439</v>
      </c>
      <c r="C96" s="158"/>
      <c r="D96" s="92" t="s">
        <v>26</v>
      </c>
      <c r="E96" s="92" t="s">
        <v>308</v>
      </c>
      <c r="F96" s="92" t="s">
        <v>309</v>
      </c>
      <c r="G96" s="92" t="s">
        <v>310</v>
      </c>
      <c r="H96" s="120" t="str">
        <f>VLOOKUP(LEFT(B96,FIND("-",B96)-1),'MAPPING MD &amp; SKENARIO'!$H$2:$I$42,2,FALSE)</f>
        <v>Kevin</v>
      </c>
      <c r="I96" s="92" t="str">
        <f>VLOOKUP(H96,'MAPPING MD &amp; SKENARIO'!$I$2:$J$42,2,FALSE)</f>
        <v>kevin.hardianus@muf.co.id</v>
      </c>
      <c r="J96" s="121">
        <f>VLOOKUP(D96,'MAPPING MD &amp; SKENARIO'!B:D,3,FALSE)</f>
        <v>2.6</v>
      </c>
      <c r="K96" s="121">
        <f t="shared" si="2"/>
        <v>1.3</v>
      </c>
      <c r="L96" s="121">
        <v>1</v>
      </c>
      <c r="M96" s="127">
        <f t="shared" si="3"/>
        <v>5</v>
      </c>
      <c r="P96" s="78"/>
      <c r="R96" s="118"/>
    </row>
    <row r="97" spans="1:18" s="77" customFormat="1" ht="100.8">
      <c r="A97" s="80">
        <v>94</v>
      </c>
      <c r="B97" s="120" t="s">
        <v>440</v>
      </c>
      <c r="C97" s="158"/>
      <c r="D97" s="92" t="s">
        <v>28</v>
      </c>
      <c r="E97" s="92" t="s">
        <v>312</v>
      </c>
      <c r="F97" s="92" t="s">
        <v>313</v>
      </c>
      <c r="G97" s="92" t="s">
        <v>314</v>
      </c>
      <c r="H97" s="120" t="str">
        <f>VLOOKUP(LEFT(B97,FIND("-",B97)-1),'MAPPING MD &amp; SKENARIO'!$H$2:$I$42,2,FALSE)</f>
        <v>Kevin</v>
      </c>
      <c r="I97" s="92" t="str">
        <f>VLOOKUP(H97,'MAPPING MD &amp; SKENARIO'!$I$2:$J$42,2,FALSE)</f>
        <v>kevin.hardianus@muf.co.id</v>
      </c>
      <c r="J97" s="121">
        <f>VLOOKUP(D97,'MAPPING MD &amp; SKENARIO'!B:D,3,FALSE)</f>
        <v>1.95</v>
      </c>
      <c r="K97" s="121">
        <f t="shared" si="2"/>
        <v>0.97499999999999998</v>
      </c>
      <c r="L97" s="121">
        <v>1</v>
      </c>
      <c r="M97" s="127">
        <f t="shared" si="3"/>
        <v>4</v>
      </c>
      <c r="P97" s="78"/>
      <c r="R97" s="118"/>
    </row>
    <row r="98" spans="1:18" s="77" customFormat="1" ht="28.8">
      <c r="A98" s="80">
        <v>95</v>
      </c>
      <c r="B98" s="120" t="s">
        <v>441</v>
      </c>
      <c r="C98" s="158"/>
      <c r="D98" s="92" t="s">
        <v>30</v>
      </c>
      <c r="E98" s="92" t="s">
        <v>316</v>
      </c>
      <c r="F98" s="92" t="s">
        <v>317</v>
      </c>
      <c r="G98" s="92" t="s">
        <v>318</v>
      </c>
      <c r="H98" s="120" t="str">
        <f>VLOOKUP(LEFT(B98,FIND("-",B98)-1),'MAPPING MD &amp; SKENARIO'!$H$2:$I$42,2,FALSE)</f>
        <v>Kevin</v>
      </c>
      <c r="I98" s="92" t="str">
        <f>VLOOKUP(H98,'MAPPING MD &amp; SKENARIO'!$I$2:$J$42,2,FALSE)</f>
        <v>kevin.hardianus@muf.co.id</v>
      </c>
      <c r="J98" s="121">
        <f>VLOOKUP(D98,'MAPPING MD &amp; SKENARIO'!B:D,3,FALSE)</f>
        <v>0.65</v>
      </c>
      <c r="K98" s="121">
        <f t="shared" si="2"/>
        <v>0.32500000000000001</v>
      </c>
      <c r="L98" s="121">
        <v>1</v>
      </c>
      <c r="M98" s="127">
        <f t="shared" si="3"/>
        <v>2</v>
      </c>
      <c r="P98" s="78"/>
      <c r="R98" s="118"/>
    </row>
    <row r="99" spans="1:18" s="77" customFormat="1" ht="43.2">
      <c r="A99" s="80">
        <v>96</v>
      </c>
      <c r="B99" s="120" t="s">
        <v>442</v>
      </c>
      <c r="C99" s="158"/>
      <c r="D99" s="92" t="s">
        <v>32</v>
      </c>
      <c r="E99" s="92" t="s">
        <v>320</v>
      </c>
      <c r="F99" s="92" t="s">
        <v>321</v>
      </c>
      <c r="G99" s="92" t="s">
        <v>322</v>
      </c>
      <c r="H99" s="120" t="str">
        <f>VLOOKUP(LEFT(B99,FIND("-",B99)-1),'MAPPING MD &amp; SKENARIO'!$H$2:$I$42,2,FALSE)</f>
        <v>Kevin</v>
      </c>
      <c r="I99" s="92" t="str">
        <f>VLOOKUP(H99,'MAPPING MD &amp; SKENARIO'!$I$2:$J$42,2,FALSE)</f>
        <v>kevin.hardianus@muf.co.id</v>
      </c>
      <c r="J99" s="121">
        <f>VLOOKUP(D99,'MAPPING MD &amp; SKENARIO'!B:D,3,FALSE)</f>
        <v>0.65</v>
      </c>
      <c r="K99" s="121">
        <f t="shared" si="2"/>
        <v>0.32500000000000001</v>
      </c>
      <c r="L99" s="121">
        <v>1</v>
      </c>
      <c r="M99" s="127">
        <f t="shared" si="3"/>
        <v>2</v>
      </c>
      <c r="P99" s="78"/>
      <c r="R99" s="118"/>
    </row>
    <row r="100" spans="1:18" s="77" customFormat="1" ht="72">
      <c r="A100" s="80">
        <v>97</v>
      </c>
      <c r="B100" s="120" t="s">
        <v>443</v>
      </c>
      <c r="C100" s="158" t="s">
        <v>156</v>
      </c>
      <c r="D100" s="92" t="s">
        <v>6</v>
      </c>
      <c r="E100" s="92" t="s">
        <v>276</v>
      </c>
      <c r="F100" s="92" t="s">
        <v>277</v>
      </c>
      <c r="G100" s="92" t="s">
        <v>278</v>
      </c>
      <c r="H100" s="120" t="str">
        <f>VLOOKUP(LEFT(B100,FIND("-",B100)-1),'MAPPING MD &amp; SKENARIO'!$H$2:$I$42,2,FALSE)</f>
        <v>Rasya</v>
      </c>
      <c r="I100" s="92" t="str">
        <f>VLOOKUP(H100,'MAPPING MD &amp; SKENARIO'!$I$2:$J$42,2,FALSE)</f>
        <v>rasya.raharjo@muf.co.id</v>
      </c>
      <c r="J100" s="121">
        <f>VLOOKUP(D100,'MAPPING MD &amp; SKENARIO'!B:D,3,FALSE)</f>
        <v>1.3</v>
      </c>
      <c r="K100" s="121">
        <f t="shared" si="2"/>
        <v>0.65</v>
      </c>
      <c r="L100" s="121">
        <v>1</v>
      </c>
      <c r="M100" s="127">
        <f t="shared" si="3"/>
        <v>3</v>
      </c>
      <c r="P100" s="78"/>
      <c r="R100" s="118"/>
    </row>
    <row r="101" spans="1:18" s="77" customFormat="1" ht="57.6">
      <c r="A101" s="80">
        <v>98</v>
      </c>
      <c r="B101" s="120" t="s">
        <v>444</v>
      </c>
      <c r="C101" s="158"/>
      <c r="D101" s="92" t="s">
        <v>8</v>
      </c>
      <c r="E101" s="92" t="s">
        <v>280</v>
      </c>
      <c r="F101" s="92" t="s">
        <v>281</v>
      </c>
      <c r="G101" s="92" t="s">
        <v>282</v>
      </c>
      <c r="H101" s="120" t="str">
        <f>VLOOKUP(LEFT(B101,FIND("-",B101)-1),'MAPPING MD &amp; SKENARIO'!$H$2:$I$42,2,FALSE)</f>
        <v>Rasya</v>
      </c>
      <c r="I101" s="92" t="str">
        <f>VLOOKUP(H101,'MAPPING MD &amp; SKENARIO'!$I$2:$J$42,2,FALSE)</f>
        <v>rasya.raharjo@muf.co.id</v>
      </c>
      <c r="J101" s="121">
        <f>VLOOKUP(D101,'MAPPING MD &amp; SKENARIO'!B:D,3,FALSE)</f>
        <v>1.95</v>
      </c>
      <c r="K101" s="121">
        <f t="shared" si="2"/>
        <v>0.97499999999999998</v>
      </c>
      <c r="L101" s="121">
        <v>1</v>
      </c>
      <c r="M101" s="127">
        <f t="shared" si="3"/>
        <v>4</v>
      </c>
      <c r="P101" s="78"/>
      <c r="R101" s="118"/>
    </row>
    <row r="102" spans="1:18" s="77" customFormat="1" ht="43.2">
      <c r="A102" s="80">
        <v>99</v>
      </c>
      <c r="B102" s="120" t="s">
        <v>445</v>
      </c>
      <c r="C102" s="158"/>
      <c r="D102" s="92" t="s">
        <v>10</v>
      </c>
      <c r="E102" s="92" t="s">
        <v>284</v>
      </c>
      <c r="F102" s="92" t="s">
        <v>285</v>
      </c>
      <c r="G102" s="92" t="s">
        <v>286</v>
      </c>
      <c r="H102" s="120" t="str">
        <f>VLOOKUP(LEFT(B102,FIND("-",B102)-1),'MAPPING MD &amp; SKENARIO'!$H$2:$I$42,2,FALSE)</f>
        <v>Rasya</v>
      </c>
      <c r="I102" s="92" t="str">
        <f>VLOOKUP(H102,'MAPPING MD &amp; SKENARIO'!$I$2:$J$42,2,FALSE)</f>
        <v>rasya.raharjo@muf.co.id</v>
      </c>
      <c r="J102" s="121">
        <f>VLOOKUP(D102,'MAPPING MD &amp; SKENARIO'!B:D,3,FALSE)</f>
        <v>0.26</v>
      </c>
      <c r="K102" s="121">
        <f t="shared" si="2"/>
        <v>0.13</v>
      </c>
      <c r="L102" s="121">
        <v>1</v>
      </c>
      <c r="M102" s="127">
        <f t="shared" si="3"/>
        <v>2</v>
      </c>
      <c r="P102" s="78"/>
      <c r="R102" s="118"/>
    </row>
    <row r="103" spans="1:18" s="77" customFormat="1" ht="115.2">
      <c r="A103" s="80">
        <v>100</v>
      </c>
      <c r="B103" s="120" t="s">
        <v>446</v>
      </c>
      <c r="C103" s="158"/>
      <c r="D103" s="92" t="s">
        <v>12</v>
      </c>
      <c r="E103" s="92" t="s">
        <v>327</v>
      </c>
      <c r="F103" s="92" t="s">
        <v>328</v>
      </c>
      <c r="G103" s="92" t="s">
        <v>290</v>
      </c>
      <c r="H103" s="120" t="str">
        <f>VLOOKUP(LEFT(B103,FIND("-",B103)-1),'MAPPING MD &amp; SKENARIO'!$H$2:$I$42,2,FALSE)</f>
        <v>Rasya</v>
      </c>
      <c r="I103" s="92" t="str">
        <f>VLOOKUP(H103,'MAPPING MD &amp; SKENARIO'!$I$2:$J$42,2,FALSE)</f>
        <v>rasya.raharjo@muf.co.id</v>
      </c>
      <c r="J103" s="121">
        <f>VLOOKUP(D103,'MAPPING MD &amp; SKENARIO'!B:D,3,FALSE)</f>
        <v>1.3</v>
      </c>
      <c r="K103" s="121">
        <f t="shared" si="2"/>
        <v>0.65</v>
      </c>
      <c r="L103" s="121">
        <v>1</v>
      </c>
      <c r="M103" s="127">
        <f t="shared" si="3"/>
        <v>3</v>
      </c>
      <c r="P103" s="78"/>
      <c r="R103" s="118"/>
    </row>
    <row r="104" spans="1:18" s="77" customFormat="1" ht="180.75" customHeight="1">
      <c r="A104" s="80">
        <v>101</v>
      </c>
      <c r="B104" s="120" t="s">
        <v>447</v>
      </c>
      <c r="C104" s="158"/>
      <c r="D104" s="92" t="s">
        <v>14</v>
      </c>
      <c r="E104" s="92" t="s">
        <v>330</v>
      </c>
      <c r="F104" s="92" t="s">
        <v>293</v>
      </c>
      <c r="G104" s="92" t="s">
        <v>294</v>
      </c>
      <c r="H104" s="120" t="str">
        <f>VLOOKUP(LEFT(B104,FIND("-",B104)-1),'MAPPING MD &amp; SKENARIO'!$H$2:$I$42,2,FALSE)</f>
        <v>Rasya</v>
      </c>
      <c r="I104" s="92" t="str">
        <f>VLOOKUP(H104,'MAPPING MD &amp; SKENARIO'!$I$2:$J$42,2,FALSE)</f>
        <v>rasya.raharjo@muf.co.id</v>
      </c>
      <c r="J104" s="121">
        <f>VLOOKUP(D104,'MAPPING MD &amp; SKENARIO'!B:D,3,FALSE)</f>
        <v>2.6</v>
      </c>
      <c r="K104" s="121">
        <f t="shared" si="2"/>
        <v>1.3</v>
      </c>
      <c r="L104" s="121">
        <v>1</v>
      </c>
      <c r="M104" s="127">
        <f t="shared" si="3"/>
        <v>5</v>
      </c>
      <c r="P104" s="78"/>
      <c r="R104" s="118"/>
    </row>
    <row r="105" spans="1:18" s="77" customFormat="1" ht="144">
      <c r="A105" s="80">
        <v>102</v>
      </c>
      <c r="B105" s="120" t="s">
        <v>448</v>
      </c>
      <c r="C105" s="158"/>
      <c r="D105" s="92" t="s">
        <v>20</v>
      </c>
      <c r="E105" s="92" t="s">
        <v>332</v>
      </c>
      <c r="F105" s="92" t="s">
        <v>333</v>
      </c>
      <c r="G105" s="92" t="s">
        <v>334</v>
      </c>
      <c r="H105" s="120" t="str">
        <f>VLOOKUP(LEFT(B105,FIND("-",B105)-1),'MAPPING MD &amp; SKENARIO'!$H$2:$I$42,2,FALSE)</f>
        <v>Rasya</v>
      </c>
      <c r="I105" s="92" t="str">
        <f>VLOOKUP(H105,'MAPPING MD &amp; SKENARIO'!$I$2:$J$42,2,FALSE)</f>
        <v>rasya.raharjo@muf.co.id</v>
      </c>
      <c r="J105" s="121">
        <f>VLOOKUP(D105,'MAPPING MD &amp; SKENARIO'!B:D,3,FALSE)</f>
        <v>1.3</v>
      </c>
      <c r="K105" s="121">
        <f t="shared" si="2"/>
        <v>0.65</v>
      </c>
      <c r="L105" s="121">
        <v>1</v>
      </c>
      <c r="M105" s="127">
        <f t="shared" si="3"/>
        <v>3</v>
      </c>
      <c r="P105" s="78"/>
      <c r="R105" s="118"/>
    </row>
    <row r="106" spans="1:18" s="77" customFormat="1" ht="100.5" customHeight="1">
      <c r="A106" s="80">
        <v>103</v>
      </c>
      <c r="B106" s="120" t="s">
        <v>449</v>
      </c>
      <c r="C106" s="158"/>
      <c r="D106" s="92" t="s">
        <v>22</v>
      </c>
      <c r="E106" s="92" t="s">
        <v>379</v>
      </c>
      <c r="F106" s="92" t="s">
        <v>450</v>
      </c>
      <c r="G106" s="92" t="s">
        <v>451</v>
      </c>
      <c r="H106" s="120" t="str">
        <f>VLOOKUP(LEFT(B106,FIND("-",B106)-1),'MAPPING MD &amp; SKENARIO'!$H$2:$I$42,2,FALSE)</f>
        <v>Rasya</v>
      </c>
      <c r="I106" s="92" t="str">
        <f>VLOOKUP(H106,'MAPPING MD &amp; SKENARIO'!$I$2:$J$42,2,FALSE)</f>
        <v>rasya.raharjo@muf.co.id</v>
      </c>
      <c r="J106" s="121">
        <f>VLOOKUP(D106,'MAPPING MD &amp; SKENARIO'!B:D,3,FALSE)</f>
        <v>1.3</v>
      </c>
      <c r="K106" s="121">
        <f t="shared" si="2"/>
        <v>0.65</v>
      </c>
      <c r="L106" s="121">
        <v>1</v>
      </c>
      <c r="M106" s="127">
        <f t="shared" si="3"/>
        <v>3</v>
      </c>
      <c r="P106" s="78"/>
      <c r="R106" s="118"/>
    </row>
    <row r="107" spans="1:18" s="77" customFormat="1" ht="57.6">
      <c r="A107" s="80">
        <v>104</v>
      </c>
      <c r="B107" s="120" t="s">
        <v>452</v>
      </c>
      <c r="C107" s="158"/>
      <c r="D107" s="92" t="s">
        <v>24</v>
      </c>
      <c r="E107" s="92" t="s">
        <v>304</v>
      </c>
      <c r="F107" s="92" t="s">
        <v>305</v>
      </c>
      <c r="G107" s="92" t="s">
        <v>306</v>
      </c>
      <c r="H107" s="120" t="str">
        <f>VLOOKUP(LEFT(B107,FIND("-",B107)-1),'MAPPING MD &amp; SKENARIO'!$H$2:$I$42,2,FALSE)</f>
        <v>Rasya</v>
      </c>
      <c r="I107" s="92" t="str">
        <f>VLOOKUP(H107,'MAPPING MD &amp; SKENARIO'!$I$2:$J$42,2,FALSE)</f>
        <v>rasya.raharjo@muf.co.id</v>
      </c>
      <c r="J107" s="121">
        <f>VLOOKUP(D107,'MAPPING MD &amp; SKENARIO'!B:D,3,FALSE)</f>
        <v>0.65</v>
      </c>
      <c r="K107" s="121">
        <f t="shared" si="2"/>
        <v>0.32500000000000001</v>
      </c>
      <c r="L107" s="121">
        <v>1</v>
      </c>
      <c r="M107" s="127">
        <f t="shared" si="3"/>
        <v>2</v>
      </c>
      <c r="P107" s="78"/>
      <c r="R107" s="118"/>
    </row>
    <row r="108" spans="1:18" s="77" customFormat="1" ht="86.4">
      <c r="A108" s="80">
        <v>105</v>
      </c>
      <c r="B108" s="120" t="s">
        <v>453</v>
      </c>
      <c r="C108" s="158"/>
      <c r="D108" s="92" t="s">
        <v>26</v>
      </c>
      <c r="E108" s="92" t="s">
        <v>308</v>
      </c>
      <c r="F108" s="92" t="s">
        <v>309</v>
      </c>
      <c r="G108" s="92" t="s">
        <v>310</v>
      </c>
      <c r="H108" s="120" t="str">
        <f>VLOOKUP(LEFT(B108,FIND("-",B108)-1),'MAPPING MD &amp; SKENARIO'!$H$2:$I$42,2,FALSE)</f>
        <v>Rasya</v>
      </c>
      <c r="I108" s="92" t="str">
        <f>VLOOKUP(H108,'MAPPING MD &amp; SKENARIO'!$I$2:$J$42,2,FALSE)</f>
        <v>rasya.raharjo@muf.co.id</v>
      </c>
      <c r="J108" s="121">
        <f>VLOOKUP(D108,'MAPPING MD &amp; SKENARIO'!B:D,3,FALSE)</f>
        <v>2.6</v>
      </c>
      <c r="K108" s="121">
        <f t="shared" si="2"/>
        <v>1.3</v>
      </c>
      <c r="L108" s="121">
        <v>1</v>
      </c>
      <c r="M108" s="127">
        <f t="shared" si="3"/>
        <v>5</v>
      </c>
      <c r="P108" s="78"/>
      <c r="R108" s="118"/>
    </row>
    <row r="109" spans="1:18" s="77" customFormat="1" ht="100.8">
      <c r="A109" s="80">
        <v>106</v>
      </c>
      <c r="B109" s="120" t="s">
        <v>454</v>
      </c>
      <c r="C109" s="158"/>
      <c r="D109" s="92" t="s">
        <v>28</v>
      </c>
      <c r="E109" s="92" t="s">
        <v>312</v>
      </c>
      <c r="F109" s="92" t="s">
        <v>313</v>
      </c>
      <c r="G109" s="92" t="s">
        <v>314</v>
      </c>
      <c r="H109" s="120" t="str">
        <f>VLOOKUP(LEFT(B109,FIND("-",B109)-1),'MAPPING MD &amp; SKENARIO'!$H$2:$I$42,2,FALSE)</f>
        <v>Rasya</v>
      </c>
      <c r="I109" s="92" t="str">
        <f>VLOOKUP(H109,'MAPPING MD &amp; SKENARIO'!$I$2:$J$42,2,FALSE)</f>
        <v>rasya.raharjo@muf.co.id</v>
      </c>
      <c r="J109" s="121">
        <f>VLOOKUP(D109,'MAPPING MD &amp; SKENARIO'!B:D,3,FALSE)</f>
        <v>1.95</v>
      </c>
      <c r="K109" s="121">
        <f t="shared" si="2"/>
        <v>0.97499999999999998</v>
      </c>
      <c r="L109" s="121">
        <v>1</v>
      </c>
      <c r="M109" s="127">
        <f t="shared" si="3"/>
        <v>4</v>
      </c>
      <c r="P109" s="78"/>
      <c r="R109" s="118"/>
    </row>
    <row r="110" spans="1:18" s="77" customFormat="1" ht="40.5" customHeight="1">
      <c r="A110" s="80">
        <v>107</v>
      </c>
      <c r="B110" s="120" t="s">
        <v>455</v>
      </c>
      <c r="C110" s="158"/>
      <c r="D110" s="92" t="s">
        <v>30</v>
      </c>
      <c r="E110" s="92" t="s">
        <v>316</v>
      </c>
      <c r="F110" s="92" t="s">
        <v>317</v>
      </c>
      <c r="G110" s="92" t="s">
        <v>318</v>
      </c>
      <c r="H110" s="120" t="str">
        <f>VLOOKUP(LEFT(B110,FIND("-",B110)-1),'MAPPING MD &amp; SKENARIO'!$H$2:$I$42,2,FALSE)</f>
        <v>Rasya</v>
      </c>
      <c r="I110" s="92" t="str">
        <f>VLOOKUP(H110,'MAPPING MD &amp; SKENARIO'!$I$2:$J$42,2,FALSE)</f>
        <v>rasya.raharjo@muf.co.id</v>
      </c>
      <c r="J110" s="121">
        <f>VLOOKUP(D110,'MAPPING MD &amp; SKENARIO'!B:D,3,FALSE)</f>
        <v>0.65</v>
      </c>
      <c r="K110" s="121">
        <f t="shared" si="2"/>
        <v>0.32500000000000001</v>
      </c>
      <c r="L110" s="121">
        <v>1</v>
      </c>
      <c r="M110" s="127">
        <f t="shared" si="3"/>
        <v>2</v>
      </c>
      <c r="P110" s="78"/>
      <c r="R110" s="118"/>
    </row>
    <row r="111" spans="1:18" s="77" customFormat="1" ht="43.2">
      <c r="A111" s="80">
        <v>108</v>
      </c>
      <c r="B111" s="120" t="s">
        <v>456</v>
      </c>
      <c r="C111" s="158"/>
      <c r="D111" s="92" t="s">
        <v>32</v>
      </c>
      <c r="E111" s="92" t="s">
        <v>320</v>
      </c>
      <c r="F111" s="92" t="s">
        <v>321</v>
      </c>
      <c r="G111" s="92" t="s">
        <v>322</v>
      </c>
      <c r="H111" s="120" t="str">
        <f>VLOOKUP(LEFT(B111,FIND("-",B111)-1),'MAPPING MD &amp; SKENARIO'!$H$2:$I$42,2,FALSE)</f>
        <v>Rasya</v>
      </c>
      <c r="I111" s="92" t="str">
        <f>VLOOKUP(H111,'MAPPING MD &amp; SKENARIO'!$I$2:$J$42,2,FALSE)</f>
        <v>rasya.raharjo@muf.co.id</v>
      </c>
      <c r="J111" s="121">
        <f>VLOOKUP(D111,'MAPPING MD &amp; SKENARIO'!B:D,3,FALSE)</f>
        <v>0.65</v>
      </c>
      <c r="K111" s="121">
        <f t="shared" si="2"/>
        <v>0.32500000000000001</v>
      </c>
      <c r="L111" s="121">
        <v>1</v>
      </c>
      <c r="M111" s="127">
        <f t="shared" si="3"/>
        <v>2</v>
      </c>
      <c r="P111" s="78"/>
      <c r="R111" s="118"/>
    </row>
    <row r="112" spans="1:18" s="77" customFormat="1" ht="72">
      <c r="A112" s="80">
        <v>109</v>
      </c>
      <c r="B112" s="120" t="s">
        <v>457</v>
      </c>
      <c r="C112" s="158" t="s">
        <v>159</v>
      </c>
      <c r="D112" s="92" t="s">
        <v>6</v>
      </c>
      <c r="E112" s="92" t="s">
        <v>276</v>
      </c>
      <c r="F112" s="92" t="s">
        <v>277</v>
      </c>
      <c r="G112" s="92" t="s">
        <v>278</v>
      </c>
      <c r="H112" s="120" t="str">
        <f>VLOOKUP(LEFT(B112,FIND("-",B112)-1),'MAPPING MD &amp; SKENARIO'!$H$2:$I$42,2,FALSE)</f>
        <v>Azhar</v>
      </c>
      <c r="I112" s="92" t="str">
        <f>VLOOKUP(H112,'MAPPING MD &amp; SKENARIO'!$I$2:$J$42,2,FALSE)</f>
        <v>azhar.azhar@muf.co.id</v>
      </c>
      <c r="J112" s="121">
        <f>VLOOKUP(D112,'MAPPING MD &amp; SKENARIO'!B:D,3,FALSE)</f>
        <v>1.3</v>
      </c>
      <c r="K112" s="121">
        <f t="shared" si="2"/>
        <v>0.65</v>
      </c>
      <c r="L112" s="121">
        <v>1</v>
      </c>
      <c r="M112" s="127">
        <f t="shared" si="3"/>
        <v>3</v>
      </c>
      <c r="P112" s="78"/>
      <c r="R112" s="118"/>
    </row>
    <row r="113" spans="1:18" s="77" customFormat="1" ht="57.6">
      <c r="A113" s="80">
        <v>110</v>
      </c>
      <c r="B113" s="120" t="s">
        <v>458</v>
      </c>
      <c r="C113" s="158"/>
      <c r="D113" s="92" t="s">
        <v>8</v>
      </c>
      <c r="E113" s="92" t="s">
        <v>280</v>
      </c>
      <c r="F113" s="92" t="s">
        <v>281</v>
      </c>
      <c r="G113" s="92" t="s">
        <v>282</v>
      </c>
      <c r="H113" s="120" t="str">
        <f>VLOOKUP(LEFT(B113,FIND("-",B113)-1),'MAPPING MD &amp; SKENARIO'!$H$2:$I$42,2,FALSE)</f>
        <v>Azhar</v>
      </c>
      <c r="I113" s="92" t="str">
        <f>VLOOKUP(H113,'MAPPING MD &amp; SKENARIO'!$I$2:$J$42,2,FALSE)</f>
        <v>azhar.azhar@muf.co.id</v>
      </c>
      <c r="J113" s="121">
        <f>VLOOKUP(D113,'MAPPING MD &amp; SKENARIO'!B:D,3,FALSE)</f>
        <v>1.95</v>
      </c>
      <c r="K113" s="121">
        <f t="shared" si="2"/>
        <v>0.97499999999999998</v>
      </c>
      <c r="L113" s="121">
        <v>1</v>
      </c>
      <c r="M113" s="127">
        <f t="shared" si="3"/>
        <v>4</v>
      </c>
      <c r="P113" s="78"/>
      <c r="R113" s="118"/>
    </row>
    <row r="114" spans="1:18" s="77" customFormat="1" ht="43.2">
      <c r="A114" s="80">
        <v>111</v>
      </c>
      <c r="B114" s="120" t="s">
        <v>459</v>
      </c>
      <c r="C114" s="158"/>
      <c r="D114" s="92" t="s">
        <v>10</v>
      </c>
      <c r="E114" s="92" t="s">
        <v>284</v>
      </c>
      <c r="F114" s="92" t="s">
        <v>285</v>
      </c>
      <c r="G114" s="92" t="s">
        <v>286</v>
      </c>
      <c r="H114" s="120" t="str">
        <f>VLOOKUP(LEFT(B114,FIND("-",B114)-1),'MAPPING MD &amp; SKENARIO'!$H$2:$I$42,2,FALSE)</f>
        <v>Azhar</v>
      </c>
      <c r="I114" s="92" t="str">
        <f>VLOOKUP(H114,'MAPPING MD &amp; SKENARIO'!$I$2:$J$42,2,FALSE)</f>
        <v>azhar.azhar@muf.co.id</v>
      </c>
      <c r="J114" s="121">
        <f>VLOOKUP(D114,'MAPPING MD &amp; SKENARIO'!B:D,3,FALSE)</f>
        <v>0.26</v>
      </c>
      <c r="K114" s="121">
        <f t="shared" si="2"/>
        <v>0.13</v>
      </c>
      <c r="L114" s="121">
        <v>1</v>
      </c>
      <c r="M114" s="127">
        <f t="shared" si="3"/>
        <v>2</v>
      </c>
      <c r="P114" s="78"/>
      <c r="R114" s="118"/>
    </row>
    <row r="115" spans="1:18" s="77" customFormat="1" ht="115.2">
      <c r="A115" s="80">
        <v>112</v>
      </c>
      <c r="B115" s="120" t="s">
        <v>460</v>
      </c>
      <c r="C115" s="158"/>
      <c r="D115" s="92" t="s">
        <v>12</v>
      </c>
      <c r="E115" s="92" t="s">
        <v>288</v>
      </c>
      <c r="F115" s="92" t="s">
        <v>328</v>
      </c>
      <c r="G115" s="92" t="s">
        <v>290</v>
      </c>
      <c r="H115" s="120" t="str">
        <f>VLOOKUP(LEFT(B115,FIND("-",B115)-1),'MAPPING MD &amp; SKENARIO'!$H$2:$I$42,2,FALSE)</f>
        <v>Azhar</v>
      </c>
      <c r="I115" s="92" t="str">
        <f>VLOOKUP(H115,'MAPPING MD &amp; SKENARIO'!$I$2:$J$42,2,FALSE)</f>
        <v>azhar.azhar@muf.co.id</v>
      </c>
      <c r="J115" s="121">
        <f>VLOOKUP(D115,'MAPPING MD &amp; SKENARIO'!B:D,3,FALSE)</f>
        <v>1.3</v>
      </c>
      <c r="K115" s="121">
        <f t="shared" si="2"/>
        <v>0.65</v>
      </c>
      <c r="L115" s="121">
        <v>1</v>
      </c>
      <c r="M115" s="127">
        <f t="shared" si="3"/>
        <v>3</v>
      </c>
      <c r="P115" s="78"/>
      <c r="R115" s="118"/>
    </row>
    <row r="116" spans="1:18" s="77" customFormat="1" ht="158.4">
      <c r="A116" s="80">
        <v>113</v>
      </c>
      <c r="B116" s="120" t="s">
        <v>461</v>
      </c>
      <c r="C116" s="158"/>
      <c r="D116" s="92" t="s">
        <v>14</v>
      </c>
      <c r="E116" s="92" t="s">
        <v>292</v>
      </c>
      <c r="F116" s="92" t="s">
        <v>293</v>
      </c>
      <c r="G116" s="92" t="s">
        <v>294</v>
      </c>
      <c r="H116" s="120" t="str">
        <f>VLOOKUP(LEFT(B116,FIND("-",B116)-1),'MAPPING MD &amp; SKENARIO'!$H$2:$I$42,2,FALSE)</f>
        <v>Azhar</v>
      </c>
      <c r="I116" s="92" t="str">
        <f>VLOOKUP(H116,'MAPPING MD &amp; SKENARIO'!$I$2:$J$42,2,FALSE)</f>
        <v>azhar.azhar@muf.co.id</v>
      </c>
      <c r="J116" s="121">
        <f>VLOOKUP(D116,'MAPPING MD &amp; SKENARIO'!B:D,3,FALSE)</f>
        <v>2.6</v>
      </c>
      <c r="K116" s="121">
        <f t="shared" si="2"/>
        <v>1.3</v>
      </c>
      <c r="L116" s="121">
        <v>1</v>
      </c>
      <c r="M116" s="127">
        <f t="shared" si="3"/>
        <v>5</v>
      </c>
      <c r="P116" s="78"/>
      <c r="R116" s="118"/>
    </row>
    <row r="117" spans="1:18" s="77" customFormat="1" ht="144">
      <c r="A117" s="80">
        <v>114</v>
      </c>
      <c r="B117" s="120" t="s">
        <v>462</v>
      </c>
      <c r="C117" s="158"/>
      <c r="D117" s="92" t="s">
        <v>20</v>
      </c>
      <c r="E117" s="92" t="s">
        <v>463</v>
      </c>
      <c r="F117" s="92" t="s">
        <v>333</v>
      </c>
      <c r="G117" s="92" t="s">
        <v>334</v>
      </c>
      <c r="H117" s="120" t="str">
        <f>VLOOKUP(LEFT(B117,FIND("-",B117)-1),'MAPPING MD &amp; SKENARIO'!$H$2:$I$42,2,FALSE)</f>
        <v>Azhar</v>
      </c>
      <c r="I117" s="92" t="str">
        <f>VLOOKUP(H117,'MAPPING MD &amp; SKENARIO'!$I$2:$J$42,2,FALSE)</f>
        <v>azhar.azhar@muf.co.id</v>
      </c>
      <c r="J117" s="121">
        <f>VLOOKUP(D117,'MAPPING MD &amp; SKENARIO'!B:D,3,FALSE)</f>
        <v>1.3</v>
      </c>
      <c r="K117" s="121">
        <f t="shared" si="2"/>
        <v>0.65</v>
      </c>
      <c r="L117" s="121">
        <v>1</v>
      </c>
      <c r="M117" s="127">
        <f t="shared" si="3"/>
        <v>3</v>
      </c>
      <c r="P117" s="78"/>
      <c r="R117" s="118"/>
    </row>
    <row r="118" spans="1:18" s="77" customFormat="1" ht="86.4">
      <c r="A118" s="80">
        <v>115</v>
      </c>
      <c r="B118" s="120" t="s">
        <v>464</v>
      </c>
      <c r="C118" s="158"/>
      <c r="D118" s="92" t="s">
        <v>22</v>
      </c>
      <c r="E118" s="92" t="s">
        <v>379</v>
      </c>
      <c r="F118" s="92" t="s">
        <v>450</v>
      </c>
      <c r="G118" s="92" t="s">
        <v>451</v>
      </c>
      <c r="H118" s="120" t="str">
        <f>VLOOKUP(LEFT(B118,FIND("-",B118)-1),'MAPPING MD &amp; SKENARIO'!$H$2:$I$42,2,FALSE)</f>
        <v>Azhar</v>
      </c>
      <c r="I118" s="92" t="str">
        <f>VLOOKUP(H118,'MAPPING MD &amp; SKENARIO'!$I$2:$J$42,2,FALSE)</f>
        <v>azhar.azhar@muf.co.id</v>
      </c>
      <c r="J118" s="121">
        <f>VLOOKUP(D118,'MAPPING MD &amp; SKENARIO'!B:D,3,FALSE)</f>
        <v>1.3</v>
      </c>
      <c r="K118" s="121">
        <f t="shared" si="2"/>
        <v>0.65</v>
      </c>
      <c r="L118" s="121">
        <v>1</v>
      </c>
      <c r="M118" s="127">
        <f t="shared" si="3"/>
        <v>3</v>
      </c>
      <c r="P118" s="78"/>
      <c r="R118" s="118"/>
    </row>
    <row r="119" spans="1:18" s="77" customFormat="1" ht="57.6">
      <c r="A119" s="80">
        <v>116</v>
      </c>
      <c r="B119" s="120" t="s">
        <v>465</v>
      </c>
      <c r="C119" s="158"/>
      <c r="D119" s="92" t="s">
        <v>24</v>
      </c>
      <c r="E119" s="92" t="s">
        <v>304</v>
      </c>
      <c r="F119" s="92" t="s">
        <v>305</v>
      </c>
      <c r="G119" s="92" t="s">
        <v>306</v>
      </c>
      <c r="H119" s="120" t="str">
        <f>VLOOKUP(LEFT(B119,FIND("-",B119)-1),'MAPPING MD &amp; SKENARIO'!$H$2:$I$42,2,FALSE)</f>
        <v>Azhar</v>
      </c>
      <c r="I119" s="92" t="str">
        <f>VLOOKUP(H119,'MAPPING MD &amp; SKENARIO'!$I$2:$J$42,2,FALSE)</f>
        <v>azhar.azhar@muf.co.id</v>
      </c>
      <c r="J119" s="121">
        <f>VLOOKUP(D119,'MAPPING MD &amp; SKENARIO'!B:D,3,FALSE)</f>
        <v>0.65</v>
      </c>
      <c r="K119" s="121">
        <f t="shared" si="2"/>
        <v>0.32500000000000001</v>
      </c>
      <c r="L119" s="121">
        <v>1</v>
      </c>
      <c r="M119" s="127">
        <f t="shared" si="3"/>
        <v>2</v>
      </c>
      <c r="P119" s="78"/>
      <c r="R119" s="118"/>
    </row>
    <row r="120" spans="1:18" s="77" customFormat="1" ht="100.5" customHeight="1">
      <c r="A120" s="80">
        <v>117</v>
      </c>
      <c r="B120" s="120" t="s">
        <v>466</v>
      </c>
      <c r="C120" s="158"/>
      <c r="D120" s="92" t="s">
        <v>26</v>
      </c>
      <c r="E120" s="92" t="s">
        <v>308</v>
      </c>
      <c r="F120" s="92" t="s">
        <v>309</v>
      </c>
      <c r="G120" s="92" t="s">
        <v>310</v>
      </c>
      <c r="H120" s="120" t="str">
        <f>VLOOKUP(LEFT(B120,FIND("-",B120)-1),'MAPPING MD &amp; SKENARIO'!$H$2:$I$42,2,FALSE)</f>
        <v>Azhar</v>
      </c>
      <c r="I120" s="92" t="str">
        <f>VLOOKUP(H120,'MAPPING MD &amp; SKENARIO'!$I$2:$J$42,2,FALSE)</f>
        <v>azhar.azhar@muf.co.id</v>
      </c>
      <c r="J120" s="121">
        <f>VLOOKUP(D120,'MAPPING MD &amp; SKENARIO'!B:D,3,FALSE)</f>
        <v>2.6</v>
      </c>
      <c r="K120" s="121">
        <f t="shared" si="2"/>
        <v>1.3</v>
      </c>
      <c r="L120" s="121">
        <v>1</v>
      </c>
      <c r="M120" s="127">
        <f t="shared" si="3"/>
        <v>5</v>
      </c>
      <c r="P120" s="78"/>
      <c r="R120" s="118"/>
    </row>
    <row r="121" spans="1:18" s="77" customFormat="1" ht="69.75" customHeight="1">
      <c r="A121" s="80">
        <v>118</v>
      </c>
      <c r="B121" s="120" t="s">
        <v>467</v>
      </c>
      <c r="C121" s="158"/>
      <c r="D121" s="92" t="s">
        <v>28</v>
      </c>
      <c r="E121" s="92" t="s">
        <v>468</v>
      </c>
      <c r="F121" s="92" t="s">
        <v>469</v>
      </c>
      <c r="G121" s="92" t="s">
        <v>470</v>
      </c>
      <c r="H121" s="120" t="str">
        <f>VLOOKUP(LEFT(B121,FIND("-",B121)-1),'MAPPING MD &amp; SKENARIO'!$H$2:$I$42,2,FALSE)</f>
        <v>Azhar</v>
      </c>
      <c r="I121" s="92" t="str">
        <f>VLOOKUP(H121,'MAPPING MD &amp; SKENARIO'!$I$2:$J$42,2,FALSE)</f>
        <v>azhar.azhar@muf.co.id</v>
      </c>
      <c r="J121" s="121">
        <f>VLOOKUP(D121,'MAPPING MD &amp; SKENARIO'!B:D,3,FALSE)</f>
        <v>1.95</v>
      </c>
      <c r="K121" s="121">
        <f t="shared" si="2"/>
        <v>0.97499999999999998</v>
      </c>
      <c r="L121" s="121">
        <v>1</v>
      </c>
      <c r="M121" s="127">
        <f t="shared" si="3"/>
        <v>4</v>
      </c>
      <c r="P121" s="78"/>
      <c r="R121" s="118"/>
    </row>
    <row r="122" spans="1:18" s="77" customFormat="1" ht="28.8">
      <c r="A122" s="80">
        <v>119</v>
      </c>
      <c r="B122" s="120" t="s">
        <v>471</v>
      </c>
      <c r="C122" s="158"/>
      <c r="D122" s="92" t="s">
        <v>36</v>
      </c>
      <c r="E122" s="92" t="s">
        <v>415</v>
      </c>
      <c r="F122" s="92" t="s">
        <v>416</v>
      </c>
      <c r="G122" s="92" t="s">
        <v>417</v>
      </c>
      <c r="H122" s="120" t="str">
        <f>VLOOKUP(LEFT(B122,FIND("-",B122)-1),'MAPPING MD &amp; SKENARIO'!$H$2:$I$42,2,FALSE)</f>
        <v>Azhar</v>
      </c>
      <c r="I122" s="92" t="str">
        <f>VLOOKUP(H122,'MAPPING MD &amp; SKENARIO'!$I$2:$J$42,2,FALSE)</f>
        <v>azhar.azhar@muf.co.id</v>
      </c>
      <c r="J122" s="121">
        <f>VLOOKUP(D122,'MAPPING MD &amp; SKENARIO'!B:D,3,FALSE)</f>
        <v>0.65</v>
      </c>
      <c r="K122" s="121">
        <f t="shared" si="2"/>
        <v>0.32500000000000001</v>
      </c>
      <c r="L122" s="121">
        <v>1</v>
      </c>
      <c r="M122" s="127">
        <f t="shared" si="3"/>
        <v>2</v>
      </c>
      <c r="P122" s="78"/>
      <c r="R122" s="118"/>
    </row>
    <row r="123" spans="1:18" s="77" customFormat="1" ht="84.75" customHeight="1">
      <c r="A123" s="80">
        <v>120</v>
      </c>
      <c r="B123" s="120" t="s">
        <v>472</v>
      </c>
      <c r="C123" s="158"/>
      <c r="D123" s="92" t="s">
        <v>38</v>
      </c>
      <c r="E123" s="92" t="s">
        <v>473</v>
      </c>
      <c r="F123" s="92" t="s">
        <v>474</v>
      </c>
      <c r="G123" s="92" t="s">
        <v>475</v>
      </c>
      <c r="H123" s="120" t="str">
        <f>VLOOKUP(LEFT(B123,FIND("-",B123)-1),'MAPPING MD &amp; SKENARIO'!$H$2:$I$42,2,FALSE)</f>
        <v>Azhar</v>
      </c>
      <c r="I123" s="92" t="str">
        <f>VLOOKUP(H123,'MAPPING MD &amp; SKENARIO'!$I$2:$J$42,2,FALSE)</f>
        <v>azhar.azhar@muf.co.id</v>
      </c>
      <c r="J123" s="121">
        <f>VLOOKUP(D123,'MAPPING MD &amp; SKENARIO'!B:D,3,FALSE)</f>
        <v>1.95</v>
      </c>
      <c r="K123" s="121">
        <f t="shared" si="2"/>
        <v>0.97499999999999998</v>
      </c>
      <c r="L123" s="121">
        <v>1</v>
      </c>
      <c r="M123" s="127">
        <f t="shared" si="3"/>
        <v>4</v>
      </c>
      <c r="P123" s="78"/>
      <c r="R123" s="118"/>
    </row>
    <row r="124" spans="1:18" s="77" customFormat="1" ht="60" customHeight="1">
      <c r="A124" s="80">
        <v>121</v>
      </c>
      <c r="B124" s="120" t="s">
        <v>476</v>
      </c>
      <c r="C124" s="158"/>
      <c r="D124" s="92" t="s">
        <v>34</v>
      </c>
      <c r="E124" s="92" t="s">
        <v>422</v>
      </c>
      <c r="F124" s="92" t="s">
        <v>477</v>
      </c>
      <c r="G124" s="92" t="s">
        <v>478</v>
      </c>
      <c r="H124" s="120" t="str">
        <f>VLOOKUP(LEFT(B124,FIND("-",B124)-1),'MAPPING MD &amp; SKENARIO'!$H$2:$I$42,2,FALSE)</f>
        <v>Azhar</v>
      </c>
      <c r="I124" s="92" t="str">
        <f>VLOOKUP(H124,'MAPPING MD &amp; SKENARIO'!$I$2:$J$42,2,FALSE)</f>
        <v>azhar.azhar@muf.co.id</v>
      </c>
      <c r="J124" s="121">
        <f>VLOOKUP(D124,'MAPPING MD &amp; SKENARIO'!B:D,3,FALSE)</f>
        <v>1.95</v>
      </c>
      <c r="K124" s="121">
        <f t="shared" si="2"/>
        <v>0.97499999999999998</v>
      </c>
      <c r="L124" s="121">
        <v>1</v>
      </c>
      <c r="M124" s="127">
        <f t="shared" si="3"/>
        <v>4</v>
      </c>
      <c r="P124" s="78"/>
      <c r="R124" s="118"/>
    </row>
    <row r="125" spans="1:18" s="77" customFormat="1" ht="72">
      <c r="A125" s="80">
        <v>122</v>
      </c>
      <c r="B125" s="120" t="s">
        <v>479</v>
      </c>
      <c r="C125" s="158"/>
      <c r="D125" s="92" t="s">
        <v>18</v>
      </c>
      <c r="E125" s="92" t="s">
        <v>300</v>
      </c>
      <c r="F125" s="92" t="s">
        <v>301</v>
      </c>
      <c r="G125" s="92" t="s">
        <v>302</v>
      </c>
      <c r="H125" s="120" t="str">
        <f>VLOOKUP(LEFT(B125,FIND("-",B125)-1),'MAPPING MD &amp; SKENARIO'!$H$2:$I$42,2,FALSE)</f>
        <v>Azhar</v>
      </c>
      <c r="I125" s="92" t="str">
        <f>VLOOKUP(H125,'MAPPING MD &amp; SKENARIO'!$I$2:$J$42,2,FALSE)</f>
        <v>azhar.azhar@muf.co.id</v>
      </c>
      <c r="J125" s="121">
        <f>VLOOKUP(D125,'MAPPING MD &amp; SKENARIO'!B:D,3,FALSE)</f>
        <v>2.6</v>
      </c>
      <c r="K125" s="121">
        <f t="shared" si="2"/>
        <v>1.3</v>
      </c>
      <c r="L125" s="121">
        <v>1</v>
      </c>
      <c r="M125" s="127">
        <f t="shared" si="3"/>
        <v>5</v>
      </c>
      <c r="P125" s="78"/>
      <c r="R125" s="118"/>
    </row>
    <row r="126" spans="1:18" s="77" customFormat="1" ht="57.6">
      <c r="A126" s="80">
        <v>123</v>
      </c>
      <c r="B126" s="120" t="s">
        <v>480</v>
      </c>
      <c r="C126" s="158"/>
      <c r="D126" s="92" t="s">
        <v>24</v>
      </c>
      <c r="E126" s="92" t="s">
        <v>304</v>
      </c>
      <c r="F126" s="92" t="s">
        <v>305</v>
      </c>
      <c r="G126" s="92" t="s">
        <v>306</v>
      </c>
      <c r="H126" s="120" t="str">
        <f>VLOOKUP(LEFT(B126,FIND("-",B126)-1),'MAPPING MD &amp; SKENARIO'!$H$2:$I$42,2,FALSE)</f>
        <v>Azhar</v>
      </c>
      <c r="I126" s="92" t="str">
        <f>VLOOKUP(H126,'MAPPING MD &amp; SKENARIO'!$I$2:$J$42,2,FALSE)</f>
        <v>azhar.azhar@muf.co.id</v>
      </c>
      <c r="J126" s="121">
        <f>VLOOKUP(D126,'MAPPING MD &amp; SKENARIO'!B:D,3,FALSE)</f>
        <v>0.65</v>
      </c>
      <c r="K126" s="121">
        <f t="shared" si="2"/>
        <v>0.32500000000000001</v>
      </c>
      <c r="L126" s="121">
        <v>1</v>
      </c>
      <c r="M126" s="127">
        <f t="shared" si="3"/>
        <v>2</v>
      </c>
      <c r="P126" s="78"/>
      <c r="R126" s="118"/>
    </row>
    <row r="127" spans="1:18" s="77" customFormat="1" ht="86.4">
      <c r="A127" s="80">
        <v>124</v>
      </c>
      <c r="B127" s="120" t="s">
        <v>481</v>
      </c>
      <c r="C127" s="158"/>
      <c r="D127" s="92" t="s">
        <v>26</v>
      </c>
      <c r="E127" s="92" t="s">
        <v>308</v>
      </c>
      <c r="F127" s="92" t="s">
        <v>309</v>
      </c>
      <c r="G127" s="92" t="s">
        <v>310</v>
      </c>
      <c r="H127" s="120" t="str">
        <f>VLOOKUP(LEFT(B127,FIND("-",B127)-1),'MAPPING MD &amp; SKENARIO'!$H$2:$I$42,2,FALSE)</f>
        <v>Azhar</v>
      </c>
      <c r="I127" s="92" t="str">
        <f>VLOOKUP(H127,'MAPPING MD &amp; SKENARIO'!$I$2:$J$42,2,FALSE)</f>
        <v>azhar.azhar@muf.co.id</v>
      </c>
      <c r="J127" s="121">
        <f>VLOOKUP(D127,'MAPPING MD &amp; SKENARIO'!B:D,3,FALSE)</f>
        <v>2.6</v>
      </c>
      <c r="K127" s="121">
        <f t="shared" si="2"/>
        <v>1.3</v>
      </c>
      <c r="L127" s="121">
        <v>1</v>
      </c>
      <c r="M127" s="127">
        <f t="shared" si="3"/>
        <v>5</v>
      </c>
      <c r="P127" s="78"/>
      <c r="R127" s="118"/>
    </row>
    <row r="128" spans="1:18" s="77" customFormat="1" ht="100.8">
      <c r="A128" s="80">
        <v>125</v>
      </c>
      <c r="B128" s="120" t="s">
        <v>482</v>
      </c>
      <c r="C128" s="158"/>
      <c r="D128" s="92" t="s">
        <v>28</v>
      </c>
      <c r="E128" s="92" t="s">
        <v>312</v>
      </c>
      <c r="F128" s="92" t="s">
        <v>313</v>
      </c>
      <c r="G128" s="92" t="s">
        <v>314</v>
      </c>
      <c r="H128" s="120" t="str">
        <f>VLOOKUP(LEFT(B128,FIND("-",B128)-1),'MAPPING MD &amp; SKENARIO'!$H$2:$I$42,2,FALSE)</f>
        <v>Azhar</v>
      </c>
      <c r="I128" s="92" t="str">
        <f>VLOOKUP(H128,'MAPPING MD &amp; SKENARIO'!$I$2:$J$42,2,FALSE)</f>
        <v>azhar.azhar@muf.co.id</v>
      </c>
      <c r="J128" s="121">
        <f>VLOOKUP(D128,'MAPPING MD &amp; SKENARIO'!B:D,3,FALSE)</f>
        <v>1.95</v>
      </c>
      <c r="K128" s="121">
        <f t="shared" si="2"/>
        <v>0.97499999999999998</v>
      </c>
      <c r="L128" s="121">
        <v>1</v>
      </c>
      <c r="M128" s="127">
        <f t="shared" si="3"/>
        <v>4</v>
      </c>
      <c r="P128" s="78"/>
      <c r="R128" s="118"/>
    </row>
    <row r="129" spans="1:18" s="77" customFormat="1" ht="28.8">
      <c r="A129" s="80">
        <v>126</v>
      </c>
      <c r="B129" s="120" t="s">
        <v>483</v>
      </c>
      <c r="C129" s="158"/>
      <c r="D129" s="92" t="s">
        <v>30</v>
      </c>
      <c r="E129" s="92" t="s">
        <v>316</v>
      </c>
      <c r="F129" s="92" t="s">
        <v>317</v>
      </c>
      <c r="G129" s="92" t="s">
        <v>318</v>
      </c>
      <c r="H129" s="120" t="str">
        <f>VLOOKUP(LEFT(B129,FIND("-",B129)-1),'MAPPING MD &amp; SKENARIO'!$H$2:$I$42,2,FALSE)</f>
        <v>Azhar</v>
      </c>
      <c r="I129" s="92" t="str">
        <f>VLOOKUP(H129,'MAPPING MD &amp; SKENARIO'!$I$2:$J$42,2,FALSE)</f>
        <v>azhar.azhar@muf.co.id</v>
      </c>
      <c r="J129" s="121">
        <f>VLOOKUP(D129,'MAPPING MD &amp; SKENARIO'!B:D,3,FALSE)</f>
        <v>0.65</v>
      </c>
      <c r="K129" s="121">
        <f t="shared" si="2"/>
        <v>0.32500000000000001</v>
      </c>
      <c r="L129" s="121">
        <v>1</v>
      </c>
      <c r="M129" s="127">
        <f t="shared" si="3"/>
        <v>2</v>
      </c>
      <c r="P129" s="78"/>
      <c r="R129" s="118"/>
    </row>
    <row r="130" spans="1:18" s="77" customFormat="1" ht="43.2">
      <c r="A130" s="80">
        <v>127</v>
      </c>
      <c r="B130" s="120" t="s">
        <v>484</v>
      </c>
      <c r="C130" s="158"/>
      <c r="D130" s="92" t="s">
        <v>32</v>
      </c>
      <c r="E130" s="92" t="s">
        <v>320</v>
      </c>
      <c r="F130" s="92" t="s">
        <v>321</v>
      </c>
      <c r="G130" s="92" t="s">
        <v>322</v>
      </c>
      <c r="H130" s="120" t="str">
        <f>VLOOKUP(LEFT(B130,FIND("-",B130)-1),'MAPPING MD &amp; SKENARIO'!$H$2:$I$42,2,FALSE)</f>
        <v>Azhar</v>
      </c>
      <c r="I130" s="92" t="str">
        <f>VLOOKUP(H130,'MAPPING MD &amp; SKENARIO'!$I$2:$J$42,2,FALSE)</f>
        <v>azhar.azhar@muf.co.id</v>
      </c>
      <c r="J130" s="121">
        <f>VLOOKUP(D130,'MAPPING MD &amp; SKENARIO'!B:D,3,FALSE)</f>
        <v>0.65</v>
      </c>
      <c r="K130" s="121">
        <f t="shared" ref="K130:K166" si="4">J130*50%</f>
        <v>0.32500000000000001</v>
      </c>
      <c r="L130" s="121">
        <v>1</v>
      </c>
      <c r="M130" s="127">
        <f t="shared" si="3"/>
        <v>2</v>
      </c>
      <c r="P130" s="78"/>
      <c r="R130" s="118"/>
    </row>
    <row r="131" spans="1:18" s="77" customFormat="1" ht="72">
      <c r="A131" s="80">
        <v>128</v>
      </c>
      <c r="B131" s="120" t="s">
        <v>485</v>
      </c>
      <c r="C131" s="158" t="s">
        <v>163</v>
      </c>
      <c r="D131" s="92" t="s">
        <v>6</v>
      </c>
      <c r="E131" s="92" t="s">
        <v>276</v>
      </c>
      <c r="F131" s="92" t="s">
        <v>277</v>
      </c>
      <c r="G131" s="92" t="s">
        <v>278</v>
      </c>
      <c r="H131" s="120" t="str">
        <f>VLOOKUP(LEFT(B131,FIND("-",B131)-1),'MAPPING MD &amp; SKENARIO'!$H$2:$I$42,2,FALSE)</f>
        <v>Affinia</v>
      </c>
      <c r="I131" s="92" t="str">
        <f>VLOOKUP(H131,'MAPPING MD &amp; SKENARIO'!$I$2:$J$42,2,FALSE)</f>
        <v>affinia.by@muf.co.id</v>
      </c>
      <c r="J131" s="121">
        <f>VLOOKUP(D131,'MAPPING MD &amp; SKENARIO'!B:D,3,FALSE)</f>
        <v>1.3</v>
      </c>
      <c r="K131" s="121">
        <f t="shared" si="4"/>
        <v>0.65</v>
      </c>
      <c r="L131" s="121">
        <v>1</v>
      </c>
      <c r="M131" s="127">
        <f t="shared" si="3"/>
        <v>3</v>
      </c>
      <c r="P131" s="78"/>
      <c r="R131" s="118"/>
    </row>
    <row r="132" spans="1:18" s="77" customFormat="1" ht="57.6">
      <c r="A132" s="80">
        <v>129</v>
      </c>
      <c r="B132" s="120" t="s">
        <v>486</v>
      </c>
      <c r="C132" s="158"/>
      <c r="D132" s="92" t="s">
        <v>8</v>
      </c>
      <c r="E132" s="92" t="s">
        <v>280</v>
      </c>
      <c r="F132" s="92" t="s">
        <v>281</v>
      </c>
      <c r="G132" s="92" t="s">
        <v>282</v>
      </c>
      <c r="H132" s="120" t="str">
        <f>VLOOKUP(LEFT(B132,FIND("-",B132)-1),'MAPPING MD &amp; SKENARIO'!$H$2:$I$42,2,FALSE)</f>
        <v>Affinia</v>
      </c>
      <c r="I132" s="92" t="str">
        <f>VLOOKUP(H132,'MAPPING MD &amp; SKENARIO'!$I$2:$J$42,2,FALSE)</f>
        <v>affinia.by@muf.co.id</v>
      </c>
      <c r="J132" s="121">
        <f>VLOOKUP(D132,'MAPPING MD &amp; SKENARIO'!B:D,3,FALSE)</f>
        <v>1.95</v>
      </c>
      <c r="K132" s="121">
        <f t="shared" si="4"/>
        <v>0.97499999999999998</v>
      </c>
      <c r="L132" s="121">
        <v>1</v>
      </c>
      <c r="M132" s="127">
        <f t="shared" si="3"/>
        <v>4</v>
      </c>
      <c r="P132" s="78"/>
      <c r="R132" s="118"/>
    </row>
    <row r="133" spans="1:18" s="77" customFormat="1" ht="43.2">
      <c r="A133" s="80">
        <v>130</v>
      </c>
      <c r="B133" s="120" t="s">
        <v>487</v>
      </c>
      <c r="C133" s="158"/>
      <c r="D133" s="92" t="s">
        <v>10</v>
      </c>
      <c r="E133" s="92" t="s">
        <v>284</v>
      </c>
      <c r="F133" s="92" t="s">
        <v>285</v>
      </c>
      <c r="G133" s="92" t="s">
        <v>286</v>
      </c>
      <c r="H133" s="120" t="str">
        <f>VLOOKUP(LEFT(B133,FIND("-",B133)-1),'MAPPING MD &amp; SKENARIO'!$H$2:$I$42,2,FALSE)</f>
        <v>Affinia</v>
      </c>
      <c r="I133" s="92" t="str">
        <f>VLOOKUP(H133,'MAPPING MD &amp; SKENARIO'!$I$2:$J$42,2,FALSE)</f>
        <v>affinia.by@muf.co.id</v>
      </c>
      <c r="J133" s="121">
        <f>VLOOKUP(D133,'MAPPING MD &amp; SKENARIO'!B:D,3,FALSE)</f>
        <v>0.26</v>
      </c>
      <c r="K133" s="121">
        <f t="shared" si="4"/>
        <v>0.13</v>
      </c>
      <c r="L133" s="121">
        <v>1</v>
      </c>
      <c r="M133" s="127">
        <f t="shared" ref="M133:M196" si="5">ROUNDUP(SUM(J133:L133),0)</f>
        <v>2</v>
      </c>
      <c r="P133" s="78"/>
      <c r="R133" s="118"/>
    </row>
    <row r="134" spans="1:18" s="77" customFormat="1" ht="115.2">
      <c r="A134" s="80">
        <v>131</v>
      </c>
      <c r="B134" s="120" t="s">
        <v>488</v>
      </c>
      <c r="C134" s="158"/>
      <c r="D134" s="92" t="s">
        <v>12</v>
      </c>
      <c r="E134" s="92" t="s">
        <v>327</v>
      </c>
      <c r="F134" s="92" t="s">
        <v>328</v>
      </c>
      <c r="G134" s="92" t="s">
        <v>290</v>
      </c>
      <c r="H134" s="120" t="str">
        <f>VLOOKUP(LEFT(B134,FIND("-",B134)-1),'MAPPING MD &amp; SKENARIO'!$H$2:$I$42,2,FALSE)</f>
        <v>Affinia</v>
      </c>
      <c r="I134" s="92" t="str">
        <f>VLOOKUP(H134,'MAPPING MD &amp; SKENARIO'!$I$2:$J$42,2,FALSE)</f>
        <v>affinia.by@muf.co.id</v>
      </c>
      <c r="J134" s="121">
        <f>VLOOKUP(D134,'MAPPING MD &amp; SKENARIO'!B:D,3,FALSE)</f>
        <v>1.3</v>
      </c>
      <c r="K134" s="121">
        <f t="shared" si="4"/>
        <v>0.65</v>
      </c>
      <c r="L134" s="121">
        <v>1</v>
      </c>
      <c r="M134" s="127">
        <f t="shared" si="5"/>
        <v>3</v>
      </c>
      <c r="P134" s="78"/>
      <c r="R134" s="118"/>
    </row>
    <row r="135" spans="1:18" s="77" customFormat="1" ht="173.25" customHeight="1">
      <c r="A135" s="80">
        <v>132</v>
      </c>
      <c r="B135" s="120" t="s">
        <v>489</v>
      </c>
      <c r="C135" s="158"/>
      <c r="D135" s="92" t="s">
        <v>14</v>
      </c>
      <c r="E135" s="92" t="s">
        <v>330</v>
      </c>
      <c r="F135" s="92" t="s">
        <v>293</v>
      </c>
      <c r="G135" s="92" t="s">
        <v>294</v>
      </c>
      <c r="H135" s="120" t="str">
        <f>VLOOKUP(LEFT(B135,FIND("-",B135)-1),'MAPPING MD &amp; SKENARIO'!$H$2:$I$42,2,FALSE)</f>
        <v>Affinia</v>
      </c>
      <c r="I135" s="92" t="str">
        <f>VLOOKUP(H135,'MAPPING MD &amp; SKENARIO'!$I$2:$J$42,2,FALSE)</f>
        <v>affinia.by@muf.co.id</v>
      </c>
      <c r="J135" s="121">
        <f>VLOOKUP(D135,'MAPPING MD &amp; SKENARIO'!B:D,3,FALSE)</f>
        <v>2.6</v>
      </c>
      <c r="K135" s="121">
        <f t="shared" si="4"/>
        <v>1.3</v>
      </c>
      <c r="L135" s="121">
        <v>1</v>
      </c>
      <c r="M135" s="127">
        <f t="shared" si="5"/>
        <v>5</v>
      </c>
      <c r="P135" s="78"/>
      <c r="R135" s="118"/>
    </row>
    <row r="136" spans="1:18" s="77" customFormat="1" ht="144">
      <c r="A136" s="80">
        <v>133</v>
      </c>
      <c r="B136" s="120" t="s">
        <v>490</v>
      </c>
      <c r="C136" s="158"/>
      <c r="D136" s="92" t="s">
        <v>20</v>
      </c>
      <c r="E136" s="92" t="s">
        <v>332</v>
      </c>
      <c r="F136" s="92" t="s">
        <v>333</v>
      </c>
      <c r="G136" s="92" t="s">
        <v>334</v>
      </c>
      <c r="H136" s="120" t="str">
        <f>VLOOKUP(LEFT(B136,FIND("-",B136)-1),'MAPPING MD &amp; SKENARIO'!$H$2:$I$42,2,FALSE)</f>
        <v>Affinia</v>
      </c>
      <c r="I136" s="92" t="str">
        <f>VLOOKUP(H136,'MAPPING MD &amp; SKENARIO'!$I$2:$J$42,2,FALSE)</f>
        <v>affinia.by@muf.co.id</v>
      </c>
      <c r="J136" s="121">
        <f>VLOOKUP(D136,'MAPPING MD &amp; SKENARIO'!B:D,3,FALSE)</f>
        <v>1.3</v>
      </c>
      <c r="K136" s="121">
        <f t="shared" si="4"/>
        <v>0.65</v>
      </c>
      <c r="L136" s="121">
        <v>1</v>
      </c>
      <c r="M136" s="127">
        <f t="shared" si="5"/>
        <v>3</v>
      </c>
      <c r="P136" s="78"/>
      <c r="R136" s="118"/>
    </row>
    <row r="137" spans="1:18" s="77" customFormat="1" ht="100.8">
      <c r="A137" s="80">
        <v>134</v>
      </c>
      <c r="B137" s="120" t="s">
        <v>491</v>
      </c>
      <c r="C137" s="158"/>
      <c r="D137" s="92" t="s">
        <v>22</v>
      </c>
      <c r="E137" s="92" t="s">
        <v>379</v>
      </c>
      <c r="F137" s="92" t="s">
        <v>380</v>
      </c>
      <c r="G137" s="92" t="s">
        <v>381</v>
      </c>
      <c r="H137" s="120" t="str">
        <f>VLOOKUP(LEFT(B137,FIND("-",B137)-1),'MAPPING MD &amp; SKENARIO'!$H$2:$I$42,2,FALSE)</f>
        <v>Affinia</v>
      </c>
      <c r="I137" s="92" t="str">
        <f>VLOOKUP(H137,'MAPPING MD &amp; SKENARIO'!$I$2:$J$42,2,FALSE)</f>
        <v>affinia.by@muf.co.id</v>
      </c>
      <c r="J137" s="121">
        <f>VLOOKUP(D137,'MAPPING MD &amp; SKENARIO'!B:D,3,FALSE)</f>
        <v>1.3</v>
      </c>
      <c r="K137" s="121">
        <f t="shared" si="4"/>
        <v>0.65</v>
      </c>
      <c r="L137" s="121">
        <v>1</v>
      </c>
      <c r="M137" s="127">
        <f t="shared" si="5"/>
        <v>3</v>
      </c>
      <c r="P137" s="78"/>
      <c r="R137" s="118"/>
    </row>
    <row r="138" spans="1:18" s="77" customFormat="1" ht="57.6">
      <c r="A138" s="80">
        <v>135</v>
      </c>
      <c r="B138" s="120" t="s">
        <v>492</v>
      </c>
      <c r="C138" s="158"/>
      <c r="D138" s="92" t="s">
        <v>24</v>
      </c>
      <c r="E138" s="92" t="s">
        <v>304</v>
      </c>
      <c r="F138" s="92" t="s">
        <v>305</v>
      </c>
      <c r="G138" s="92" t="s">
        <v>306</v>
      </c>
      <c r="H138" s="120" t="str">
        <f>VLOOKUP(LEFT(B138,FIND("-",B138)-1),'MAPPING MD &amp; SKENARIO'!$H$2:$I$42,2,FALSE)</f>
        <v>Affinia</v>
      </c>
      <c r="I138" s="92" t="str">
        <f>VLOOKUP(H138,'MAPPING MD &amp; SKENARIO'!$I$2:$J$42,2,FALSE)</f>
        <v>affinia.by@muf.co.id</v>
      </c>
      <c r="J138" s="121">
        <f>VLOOKUP(D138,'MAPPING MD &amp; SKENARIO'!B:D,3,FALSE)</f>
        <v>0.65</v>
      </c>
      <c r="K138" s="121">
        <f t="shared" si="4"/>
        <v>0.32500000000000001</v>
      </c>
      <c r="L138" s="121">
        <v>1</v>
      </c>
      <c r="M138" s="127">
        <f t="shared" si="5"/>
        <v>2</v>
      </c>
      <c r="P138" s="78"/>
      <c r="R138" s="118"/>
    </row>
    <row r="139" spans="1:18" s="77" customFormat="1" ht="86.4">
      <c r="A139" s="80">
        <v>136</v>
      </c>
      <c r="B139" s="120" t="s">
        <v>493</v>
      </c>
      <c r="C139" s="158"/>
      <c r="D139" s="92" t="s">
        <v>26</v>
      </c>
      <c r="E139" s="92" t="s">
        <v>308</v>
      </c>
      <c r="F139" s="92" t="s">
        <v>309</v>
      </c>
      <c r="G139" s="92" t="s">
        <v>310</v>
      </c>
      <c r="H139" s="120" t="str">
        <f>VLOOKUP(LEFT(B139,FIND("-",B139)-1),'MAPPING MD &amp; SKENARIO'!$H$2:$I$42,2,FALSE)</f>
        <v>Affinia</v>
      </c>
      <c r="I139" s="92" t="str">
        <f>VLOOKUP(H139,'MAPPING MD &amp; SKENARIO'!$I$2:$J$42,2,FALSE)</f>
        <v>affinia.by@muf.co.id</v>
      </c>
      <c r="J139" s="121">
        <f>VLOOKUP(D139,'MAPPING MD &amp; SKENARIO'!B:D,3,FALSE)</f>
        <v>2.6</v>
      </c>
      <c r="K139" s="121">
        <f t="shared" si="4"/>
        <v>1.3</v>
      </c>
      <c r="L139" s="121">
        <v>1</v>
      </c>
      <c r="M139" s="127">
        <f t="shared" si="5"/>
        <v>5</v>
      </c>
      <c r="P139" s="78"/>
      <c r="R139" s="118"/>
    </row>
    <row r="140" spans="1:18" s="77" customFormat="1" ht="100.8">
      <c r="A140" s="80">
        <v>137</v>
      </c>
      <c r="B140" s="120" t="s">
        <v>494</v>
      </c>
      <c r="C140" s="158"/>
      <c r="D140" s="92" t="s">
        <v>28</v>
      </c>
      <c r="E140" s="92" t="s">
        <v>312</v>
      </c>
      <c r="F140" s="92" t="s">
        <v>313</v>
      </c>
      <c r="G140" s="92" t="s">
        <v>314</v>
      </c>
      <c r="H140" s="120" t="str">
        <f>VLOOKUP(LEFT(B140,FIND("-",B140)-1),'MAPPING MD &amp; SKENARIO'!$H$2:$I$42,2,FALSE)</f>
        <v>Affinia</v>
      </c>
      <c r="I140" s="92" t="str">
        <f>VLOOKUP(H140,'MAPPING MD &amp; SKENARIO'!$I$2:$J$42,2,FALSE)</f>
        <v>affinia.by@muf.co.id</v>
      </c>
      <c r="J140" s="121">
        <f>VLOOKUP(D140,'MAPPING MD &amp; SKENARIO'!B:D,3,FALSE)</f>
        <v>1.95</v>
      </c>
      <c r="K140" s="121">
        <f t="shared" si="4"/>
        <v>0.97499999999999998</v>
      </c>
      <c r="L140" s="121">
        <v>1</v>
      </c>
      <c r="M140" s="127">
        <f t="shared" si="5"/>
        <v>4</v>
      </c>
      <c r="P140" s="78"/>
      <c r="R140" s="118"/>
    </row>
    <row r="141" spans="1:18" s="77" customFormat="1" ht="36.75" customHeight="1">
      <c r="A141" s="80">
        <v>138</v>
      </c>
      <c r="B141" s="120" t="s">
        <v>495</v>
      </c>
      <c r="C141" s="158"/>
      <c r="D141" s="92" t="s">
        <v>30</v>
      </c>
      <c r="E141" s="92" t="s">
        <v>316</v>
      </c>
      <c r="F141" s="92" t="s">
        <v>317</v>
      </c>
      <c r="G141" s="92" t="s">
        <v>318</v>
      </c>
      <c r="H141" s="120" t="str">
        <f>VLOOKUP(LEFT(B141,FIND("-",B141)-1),'MAPPING MD &amp; SKENARIO'!$H$2:$I$42,2,FALSE)</f>
        <v>Affinia</v>
      </c>
      <c r="I141" s="92" t="str">
        <f>VLOOKUP(H141,'MAPPING MD &amp; SKENARIO'!$I$2:$J$42,2,FALSE)</f>
        <v>affinia.by@muf.co.id</v>
      </c>
      <c r="J141" s="121">
        <f>VLOOKUP(D141,'MAPPING MD &amp; SKENARIO'!B:D,3,FALSE)</f>
        <v>0.65</v>
      </c>
      <c r="K141" s="121">
        <f t="shared" si="4"/>
        <v>0.32500000000000001</v>
      </c>
      <c r="L141" s="121">
        <v>1</v>
      </c>
      <c r="M141" s="127">
        <f t="shared" si="5"/>
        <v>2</v>
      </c>
      <c r="P141" s="78"/>
      <c r="R141" s="118"/>
    </row>
    <row r="142" spans="1:18" s="77" customFormat="1" ht="43.2">
      <c r="A142" s="80">
        <v>139</v>
      </c>
      <c r="B142" s="120" t="s">
        <v>496</v>
      </c>
      <c r="C142" s="158"/>
      <c r="D142" s="92" t="s">
        <v>32</v>
      </c>
      <c r="E142" s="92" t="s">
        <v>320</v>
      </c>
      <c r="F142" s="92" t="s">
        <v>321</v>
      </c>
      <c r="G142" s="92" t="s">
        <v>322</v>
      </c>
      <c r="H142" s="120" t="str">
        <f>VLOOKUP(LEFT(B142,FIND("-",B142)-1),'MAPPING MD &amp; SKENARIO'!$H$2:$I$42,2,FALSE)</f>
        <v>Affinia</v>
      </c>
      <c r="I142" s="92" t="str">
        <f>VLOOKUP(H142,'MAPPING MD &amp; SKENARIO'!$I$2:$J$42,2,FALSE)</f>
        <v>affinia.by@muf.co.id</v>
      </c>
      <c r="J142" s="121">
        <f>VLOOKUP(D142,'MAPPING MD &amp; SKENARIO'!B:D,3,FALSE)</f>
        <v>0.65</v>
      </c>
      <c r="K142" s="121">
        <f t="shared" si="4"/>
        <v>0.32500000000000001</v>
      </c>
      <c r="L142" s="121">
        <v>1</v>
      </c>
      <c r="M142" s="127">
        <f t="shared" si="5"/>
        <v>2</v>
      </c>
      <c r="P142" s="78"/>
      <c r="R142" s="118"/>
    </row>
    <row r="143" spans="1:18" s="77" customFormat="1" ht="72">
      <c r="A143" s="80">
        <v>140</v>
      </c>
      <c r="B143" s="120" t="s">
        <v>497</v>
      </c>
      <c r="C143" s="158" t="s">
        <v>165</v>
      </c>
      <c r="D143" s="92" t="s">
        <v>6</v>
      </c>
      <c r="E143" s="92" t="s">
        <v>276</v>
      </c>
      <c r="F143" s="92" t="s">
        <v>277</v>
      </c>
      <c r="G143" s="92" t="s">
        <v>278</v>
      </c>
      <c r="H143" s="120" t="str">
        <f>VLOOKUP(LEFT(B143,FIND("-",B143)-1),'MAPPING MD &amp; SKENARIO'!$H$2:$I$42,2,FALSE)</f>
        <v>Kevin</v>
      </c>
      <c r="I143" s="92" t="str">
        <f>VLOOKUP(H143,'MAPPING MD &amp; SKENARIO'!$I$2:$J$42,2,FALSE)</f>
        <v>kevin.hardianus@muf.co.id</v>
      </c>
      <c r="J143" s="121">
        <f>VLOOKUP(D143,'MAPPING MD &amp; SKENARIO'!B:D,3,FALSE)</f>
        <v>1.3</v>
      </c>
      <c r="K143" s="121">
        <f t="shared" si="4"/>
        <v>0.65</v>
      </c>
      <c r="L143" s="121">
        <v>1</v>
      </c>
      <c r="M143" s="127">
        <f t="shared" si="5"/>
        <v>3</v>
      </c>
      <c r="P143" s="78"/>
      <c r="R143" s="118"/>
    </row>
    <row r="144" spans="1:18" s="77" customFormat="1" ht="57.6">
      <c r="A144" s="80">
        <v>141</v>
      </c>
      <c r="B144" s="120" t="s">
        <v>498</v>
      </c>
      <c r="C144" s="158"/>
      <c r="D144" s="92" t="s">
        <v>8</v>
      </c>
      <c r="E144" s="92" t="s">
        <v>280</v>
      </c>
      <c r="F144" s="92" t="s">
        <v>281</v>
      </c>
      <c r="G144" s="92" t="s">
        <v>282</v>
      </c>
      <c r="H144" s="120" t="str">
        <f>VLOOKUP(LEFT(B144,FIND("-",B144)-1),'MAPPING MD &amp; SKENARIO'!$H$2:$I$42,2,FALSE)</f>
        <v>Kevin</v>
      </c>
      <c r="I144" s="92" t="str">
        <f>VLOOKUP(H144,'MAPPING MD &amp; SKENARIO'!$I$2:$J$42,2,FALSE)</f>
        <v>kevin.hardianus@muf.co.id</v>
      </c>
      <c r="J144" s="121">
        <f>VLOOKUP(D144,'MAPPING MD &amp; SKENARIO'!B:D,3,FALSE)</f>
        <v>1.95</v>
      </c>
      <c r="K144" s="121">
        <f t="shared" si="4"/>
        <v>0.97499999999999998</v>
      </c>
      <c r="L144" s="121">
        <v>1</v>
      </c>
      <c r="M144" s="127">
        <f t="shared" si="5"/>
        <v>4</v>
      </c>
      <c r="P144" s="78"/>
      <c r="R144" s="118"/>
    </row>
    <row r="145" spans="1:18" s="77" customFormat="1" ht="43.2">
      <c r="A145" s="80">
        <v>142</v>
      </c>
      <c r="B145" s="120" t="s">
        <v>499</v>
      </c>
      <c r="C145" s="158"/>
      <c r="D145" s="92" t="s">
        <v>10</v>
      </c>
      <c r="E145" s="92" t="s">
        <v>284</v>
      </c>
      <c r="F145" s="92" t="s">
        <v>285</v>
      </c>
      <c r="G145" s="92" t="s">
        <v>286</v>
      </c>
      <c r="H145" s="120" t="str">
        <f>VLOOKUP(LEFT(B145,FIND("-",B145)-1),'MAPPING MD &amp; SKENARIO'!$H$2:$I$42,2,FALSE)</f>
        <v>Kevin</v>
      </c>
      <c r="I145" s="92" t="str">
        <f>VLOOKUP(H145,'MAPPING MD &amp; SKENARIO'!$I$2:$J$42,2,FALSE)</f>
        <v>kevin.hardianus@muf.co.id</v>
      </c>
      <c r="J145" s="121">
        <f>VLOOKUP(D145,'MAPPING MD &amp; SKENARIO'!B:D,3,FALSE)</f>
        <v>0.26</v>
      </c>
      <c r="K145" s="121">
        <f t="shared" si="4"/>
        <v>0.13</v>
      </c>
      <c r="L145" s="121">
        <v>1</v>
      </c>
      <c r="M145" s="127">
        <f t="shared" si="5"/>
        <v>2</v>
      </c>
      <c r="P145" s="78"/>
      <c r="R145" s="118"/>
    </row>
    <row r="146" spans="1:18" s="77" customFormat="1" ht="115.2">
      <c r="A146" s="80">
        <v>143</v>
      </c>
      <c r="B146" s="120" t="s">
        <v>500</v>
      </c>
      <c r="C146" s="158"/>
      <c r="D146" s="92" t="s">
        <v>12</v>
      </c>
      <c r="E146" s="92" t="s">
        <v>288</v>
      </c>
      <c r="F146" s="92" t="s">
        <v>289</v>
      </c>
      <c r="G146" s="92" t="s">
        <v>290</v>
      </c>
      <c r="H146" s="120" t="str">
        <f>VLOOKUP(LEFT(B146,FIND("-",B146)-1),'MAPPING MD &amp; SKENARIO'!$H$2:$I$42,2,FALSE)</f>
        <v>Kevin</v>
      </c>
      <c r="I146" s="92" t="str">
        <f>VLOOKUP(H146,'MAPPING MD &amp; SKENARIO'!$I$2:$J$42,2,FALSE)</f>
        <v>kevin.hardianus@muf.co.id</v>
      </c>
      <c r="J146" s="121">
        <f>VLOOKUP(D146,'MAPPING MD &amp; SKENARIO'!B:D,3,FALSE)</f>
        <v>1.3</v>
      </c>
      <c r="K146" s="121">
        <f t="shared" si="4"/>
        <v>0.65</v>
      </c>
      <c r="L146" s="121">
        <v>1</v>
      </c>
      <c r="M146" s="127">
        <f t="shared" si="5"/>
        <v>3</v>
      </c>
      <c r="P146" s="78"/>
      <c r="R146" s="118"/>
    </row>
    <row r="147" spans="1:18" s="77" customFormat="1" ht="158.4">
      <c r="A147" s="80">
        <v>144</v>
      </c>
      <c r="B147" s="120" t="s">
        <v>501</v>
      </c>
      <c r="C147" s="158"/>
      <c r="D147" s="92" t="s">
        <v>14</v>
      </c>
      <c r="E147" s="92" t="s">
        <v>292</v>
      </c>
      <c r="F147" s="92" t="s">
        <v>293</v>
      </c>
      <c r="G147" s="92" t="s">
        <v>294</v>
      </c>
      <c r="H147" s="120" t="str">
        <f>VLOOKUP(LEFT(B147,FIND("-",B147)-1),'MAPPING MD &amp; SKENARIO'!$H$2:$I$42,2,FALSE)</f>
        <v>Kevin</v>
      </c>
      <c r="I147" s="92" t="str">
        <f>VLOOKUP(H147,'MAPPING MD &amp; SKENARIO'!$I$2:$J$42,2,FALSE)</f>
        <v>kevin.hardianus@muf.co.id</v>
      </c>
      <c r="J147" s="121">
        <f>VLOOKUP(D147,'MAPPING MD &amp; SKENARIO'!B:D,3,FALSE)</f>
        <v>2.6</v>
      </c>
      <c r="K147" s="121">
        <f t="shared" si="4"/>
        <v>1.3</v>
      </c>
      <c r="L147" s="121">
        <v>1</v>
      </c>
      <c r="M147" s="127">
        <f t="shared" si="5"/>
        <v>5</v>
      </c>
      <c r="P147" s="78"/>
      <c r="R147" s="118"/>
    </row>
    <row r="148" spans="1:18" s="77" customFormat="1" ht="144">
      <c r="A148" s="80">
        <v>145</v>
      </c>
      <c r="B148" s="120" t="s">
        <v>502</v>
      </c>
      <c r="C148" s="158"/>
      <c r="D148" s="92" t="s">
        <v>16</v>
      </c>
      <c r="E148" s="92" t="s">
        <v>296</v>
      </c>
      <c r="F148" s="92" t="s">
        <v>297</v>
      </c>
      <c r="G148" s="92" t="s">
        <v>298</v>
      </c>
      <c r="H148" s="120" t="str">
        <f>VLOOKUP(LEFT(B148,FIND("-",B148)-1),'MAPPING MD &amp; SKENARIO'!$H$2:$I$42,2,FALSE)</f>
        <v>Kevin</v>
      </c>
      <c r="I148" s="92" t="str">
        <f>VLOOKUP(H148,'MAPPING MD &amp; SKENARIO'!$I$2:$J$42,2,FALSE)</f>
        <v>kevin.hardianus@muf.co.id</v>
      </c>
      <c r="J148" s="121">
        <f>VLOOKUP(D148,'MAPPING MD &amp; SKENARIO'!B:D,3,FALSE)</f>
        <v>1.3</v>
      </c>
      <c r="K148" s="121">
        <f t="shared" si="4"/>
        <v>0.65</v>
      </c>
      <c r="L148" s="121">
        <v>1</v>
      </c>
      <c r="M148" s="127">
        <f t="shared" si="5"/>
        <v>3</v>
      </c>
      <c r="P148" s="78"/>
      <c r="R148" s="118"/>
    </row>
    <row r="149" spans="1:18" s="77" customFormat="1" ht="72">
      <c r="A149" s="80">
        <v>146</v>
      </c>
      <c r="B149" s="120" t="s">
        <v>503</v>
      </c>
      <c r="C149" s="158"/>
      <c r="D149" s="92" t="s">
        <v>18</v>
      </c>
      <c r="E149" s="92" t="s">
        <v>300</v>
      </c>
      <c r="F149" s="92" t="s">
        <v>301</v>
      </c>
      <c r="G149" s="92" t="s">
        <v>302</v>
      </c>
      <c r="H149" s="120" t="str">
        <f>VLOOKUP(LEFT(B149,FIND("-",B149)-1),'MAPPING MD &amp; SKENARIO'!$H$2:$I$42,2,FALSE)</f>
        <v>Kevin</v>
      </c>
      <c r="I149" s="92" t="str">
        <f>VLOOKUP(H149,'MAPPING MD &amp; SKENARIO'!$I$2:$J$42,2,FALSE)</f>
        <v>kevin.hardianus@muf.co.id</v>
      </c>
      <c r="J149" s="121">
        <f>VLOOKUP(D149,'MAPPING MD &amp; SKENARIO'!B:D,3,FALSE)</f>
        <v>2.6</v>
      </c>
      <c r="K149" s="121">
        <f t="shared" si="4"/>
        <v>1.3</v>
      </c>
      <c r="L149" s="121">
        <v>1</v>
      </c>
      <c r="M149" s="127">
        <f t="shared" si="5"/>
        <v>5</v>
      </c>
      <c r="P149" s="78"/>
      <c r="R149" s="118"/>
    </row>
    <row r="150" spans="1:18" s="77" customFormat="1" ht="57.6">
      <c r="A150" s="80">
        <v>147</v>
      </c>
      <c r="B150" s="120" t="s">
        <v>504</v>
      </c>
      <c r="C150" s="158"/>
      <c r="D150" s="92" t="s">
        <v>24</v>
      </c>
      <c r="E150" s="92" t="s">
        <v>304</v>
      </c>
      <c r="F150" s="92" t="s">
        <v>305</v>
      </c>
      <c r="G150" s="92" t="s">
        <v>306</v>
      </c>
      <c r="H150" s="120" t="str">
        <f>VLOOKUP(LEFT(B150,FIND("-",B150)-1),'MAPPING MD &amp; SKENARIO'!$H$2:$I$42,2,FALSE)</f>
        <v>Kevin</v>
      </c>
      <c r="I150" s="92" t="str">
        <f>VLOOKUP(H150,'MAPPING MD &amp; SKENARIO'!$I$2:$J$42,2,FALSE)</f>
        <v>kevin.hardianus@muf.co.id</v>
      </c>
      <c r="J150" s="121">
        <f>VLOOKUP(D150,'MAPPING MD &amp; SKENARIO'!B:D,3,FALSE)</f>
        <v>0.65</v>
      </c>
      <c r="K150" s="121">
        <f t="shared" si="4"/>
        <v>0.32500000000000001</v>
      </c>
      <c r="L150" s="121">
        <v>1</v>
      </c>
      <c r="M150" s="127">
        <f t="shared" si="5"/>
        <v>2</v>
      </c>
      <c r="P150" s="78"/>
      <c r="R150" s="118"/>
    </row>
    <row r="151" spans="1:18" s="77" customFormat="1" ht="86.4">
      <c r="A151" s="80">
        <v>148</v>
      </c>
      <c r="B151" s="120" t="s">
        <v>505</v>
      </c>
      <c r="C151" s="158"/>
      <c r="D151" s="92" t="s">
        <v>26</v>
      </c>
      <c r="E151" s="92" t="s">
        <v>308</v>
      </c>
      <c r="F151" s="92" t="s">
        <v>309</v>
      </c>
      <c r="G151" s="92" t="s">
        <v>310</v>
      </c>
      <c r="H151" s="120" t="str">
        <f>VLOOKUP(LEFT(B151,FIND("-",B151)-1),'MAPPING MD &amp; SKENARIO'!$H$2:$I$42,2,FALSE)</f>
        <v>Kevin</v>
      </c>
      <c r="I151" s="92" t="str">
        <f>VLOOKUP(H151,'MAPPING MD &amp; SKENARIO'!$I$2:$J$42,2,FALSE)</f>
        <v>kevin.hardianus@muf.co.id</v>
      </c>
      <c r="J151" s="121">
        <f>VLOOKUP(D151,'MAPPING MD &amp; SKENARIO'!B:D,3,FALSE)</f>
        <v>2.6</v>
      </c>
      <c r="K151" s="121">
        <f t="shared" si="4"/>
        <v>1.3</v>
      </c>
      <c r="L151" s="121">
        <v>1</v>
      </c>
      <c r="M151" s="127">
        <f t="shared" si="5"/>
        <v>5</v>
      </c>
      <c r="P151" s="78"/>
      <c r="R151" s="118"/>
    </row>
    <row r="152" spans="1:18" s="77" customFormat="1" ht="100.8">
      <c r="A152" s="80">
        <v>149</v>
      </c>
      <c r="B152" s="120" t="s">
        <v>506</v>
      </c>
      <c r="C152" s="158"/>
      <c r="D152" s="92" t="s">
        <v>28</v>
      </c>
      <c r="E152" s="92" t="s">
        <v>312</v>
      </c>
      <c r="F152" s="92" t="s">
        <v>313</v>
      </c>
      <c r="G152" s="92" t="s">
        <v>314</v>
      </c>
      <c r="H152" s="120" t="str">
        <f>VLOOKUP(LEFT(B152,FIND("-",B152)-1),'MAPPING MD &amp; SKENARIO'!$H$2:$I$42,2,FALSE)</f>
        <v>Kevin</v>
      </c>
      <c r="I152" s="92" t="str">
        <f>VLOOKUP(H152,'MAPPING MD &amp; SKENARIO'!$I$2:$J$42,2,FALSE)</f>
        <v>kevin.hardianus@muf.co.id</v>
      </c>
      <c r="J152" s="121">
        <f>VLOOKUP(D152,'MAPPING MD &amp; SKENARIO'!B:D,3,FALSE)</f>
        <v>1.95</v>
      </c>
      <c r="K152" s="121">
        <f t="shared" si="4"/>
        <v>0.97499999999999998</v>
      </c>
      <c r="L152" s="121">
        <v>1</v>
      </c>
      <c r="M152" s="127">
        <f t="shared" si="5"/>
        <v>4</v>
      </c>
      <c r="P152" s="78"/>
      <c r="R152" s="118"/>
    </row>
    <row r="153" spans="1:18" s="77" customFormat="1" ht="28.8">
      <c r="A153" s="80">
        <v>150</v>
      </c>
      <c r="B153" s="120" t="s">
        <v>507</v>
      </c>
      <c r="C153" s="158"/>
      <c r="D153" s="92" t="s">
        <v>30</v>
      </c>
      <c r="E153" s="92" t="s">
        <v>316</v>
      </c>
      <c r="F153" s="92" t="s">
        <v>317</v>
      </c>
      <c r="G153" s="92" t="s">
        <v>318</v>
      </c>
      <c r="H153" s="120" t="str">
        <f>VLOOKUP(LEFT(B153,FIND("-",B153)-1),'MAPPING MD &amp; SKENARIO'!$H$2:$I$42,2,FALSE)</f>
        <v>Kevin</v>
      </c>
      <c r="I153" s="92" t="str">
        <f>VLOOKUP(H153,'MAPPING MD &amp; SKENARIO'!$I$2:$J$42,2,FALSE)</f>
        <v>kevin.hardianus@muf.co.id</v>
      </c>
      <c r="J153" s="121">
        <f>VLOOKUP(D153,'MAPPING MD &amp; SKENARIO'!B:D,3,FALSE)</f>
        <v>0.65</v>
      </c>
      <c r="K153" s="121">
        <f t="shared" si="4"/>
        <v>0.32500000000000001</v>
      </c>
      <c r="L153" s="121">
        <v>1</v>
      </c>
      <c r="M153" s="127">
        <f t="shared" si="5"/>
        <v>2</v>
      </c>
      <c r="P153" s="78"/>
      <c r="R153" s="118"/>
    </row>
    <row r="154" spans="1:18" s="77" customFormat="1" ht="43.2">
      <c r="A154" s="80">
        <v>151</v>
      </c>
      <c r="B154" s="120" t="s">
        <v>508</v>
      </c>
      <c r="C154" s="158"/>
      <c r="D154" s="92" t="s">
        <v>32</v>
      </c>
      <c r="E154" s="92" t="s">
        <v>320</v>
      </c>
      <c r="F154" s="92" t="s">
        <v>321</v>
      </c>
      <c r="G154" s="92" t="s">
        <v>322</v>
      </c>
      <c r="H154" s="120" t="str">
        <f>VLOOKUP(LEFT(B154,FIND("-",B154)-1),'MAPPING MD &amp; SKENARIO'!$H$2:$I$42,2,FALSE)</f>
        <v>Kevin</v>
      </c>
      <c r="I154" s="92" t="str">
        <f>VLOOKUP(H154,'MAPPING MD &amp; SKENARIO'!$I$2:$J$42,2,FALSE)</f>
        <v>kevin.hardianus@muf.co.id</v>
      </c>
      <c r="J154" s="121">
        <f>VLOOKUP(D154,'MAPPING MD &amp; SKENARIO'!B:D,3,FALSE)</f>
        <v>0.65</v>
      </c>
      <c r="K154" s="121">
        <f t="shared" si="4"/>
        <v>0.32500000000000001</v>
      </c>
      <c r="L154" s="121">
        <v>1</v>
      </c>
      <c r="M154" s="127">
        <f t="shared" si="5"/>
        <v>2</v>
      </c>
      <c r="P154" s="78"/>
      <c r="R154" s="118"/>
    </row>
    <row r="155" spans="1:18" s="77" customFormat="1" ht="72">
      <c r="A155" s="80">
        <v>152</v>
      </c>
      <c r="B155" s="120" t="s">
        <v>509</v>
      </c>
      <c r="C155" s="158" t="s">
        <v>168</v>
      </c>
      <c r="D155" s="92" t="s">
        <v>6</v>
      </c>
      <c r="E155" s="92" t="s">
        <v>276</v>
      </c>
      <c r="F155" s="92" t="s">
        <v>277</v>
      </c>
      <c r="G155" s="92" t="s">
        <v>278</v>
      </c>
      <c r="H155" s="120" t="str">
        <f>VLOOKUP(LEFT(B155,FIND("-",B155)-1),'MAPPING MD &amp; SKENARIO'!$H$2:$I$42,2,FALSE)</f>
        <v>Rasya</v>
      </c>
      <c r="I155" s="92" t="str">
        <f>VLOOKUP(H155,'MAPPING MD &amp; SKENARIO'!$I$2:$J$42,2,FALSE)</f>
        <v>rasya.raharjo@muf.co.id</v>
      </c>
      <c r="J155" s="121">
        <f>VLOOKUP(D155,'MAPPING MD &amp; SKENARIO'!B:D,3,FALSE)</f>
        <v>1.3</v>
      </c>
      <c r="K155" s="121">
        <f t="shared" si="4"/>
        <v>0.65</v>
      </c>
      <c r="L155" s="121">
        <v>1</v>
      </c>
      <c r="M155" s="127">
        <f t="shared" si="5"/>
        <v>3</v>
      </c>
      <c r="P155" s="78"/>
      <c r="R155" s="118"/>
    </row>
    <row r="156" spans="1:18" s="77" customFormat="1" ht="43.2">
      <c r="A156" s="80">
        <v>153</v>
      </c>
      <c r="B156" s="120" t="s">
        <v>510</v>
      </c>
      <c r="C156" s="158"/>
      <c r="D156" s="92" t="s">
        <v>10</v>
      </c>
      <c r="E156" s="92" t="s">
        <v>284</v>
      </c>
      <c r="F156" s="92" t="s">
        <v>285</v>
      </c>
      <c r="G156" s="92" t="s">
        <v>286</v>
      </c>
      <c r="H156" s="120" t="str">
        <f>VLOOKUP(LEFT(B156,FIND("-",B156)-1),'MAPPING MD &amp; SKENARIO'!$H$2:$I$42,2,FALSE)</f>
        <v>Rasya</v>
      </c>
      <c r="I156" s="92" t="str">
        <f>VLOOKUP(H156,'MAPPING MD &amp; SKENARIO'!$I$2:$J$42,2,FALSE)</f>
        <v>rasya.raharjo@muf.co.id</v>
      </c>
      <c r="J156" s="121">
        <f>VLOOKUP(D156,'MAPPING MD &amp; SKENARIO'!B:D,3,FALSE)</f>
        <v>0.26</v>
      </c>
      <c r="K156" s="121">
        <f t="shared" si="4"/>
        <v>0.13</v>
      </c>
      <c r="L156" s="121">
        <v>1</v>
      </c>
      <c r="M156" s="127">
        <f t="shared" si="5"/>
        <v>2</v>
      </c>
      <c r="P156" s="78"/>
      <c r="R156" s="118"/>
    </row>
    <row r="157" spans="1:18" s="77" customFormat="1" ht="115.2">
      <c r="A157" s="80">
        <v>154</v>
      </c>
      <c r="B157" s="120" t="s">
        <v>511</v>
      </c>
      <c r="C157" s="158"/>
      <c r="D157" s="92" t="s">
        <v>12</v>
      </c>
      <c r="E157" s="92" t="s">
        <v>288</v>
      </c>
      <c r="F157" s="92" t="s">
        <v>289</v>
      </c>
      <c r="G157" s="92" t="s">
        <v>290</v>
      </c>
      <c r="H157" s="120" t="str">
        <f>VLOOKUP(LEFT(B157,FIND("-",B157)-1),'MAPPING MD &amp; SKENARIO'!$H$2:$I$42,2,FALSE)</f>
        <v>Rasya</v>
      </c>
      <c r="I157" s="92" t="str">
        <f>VLOOKUP(H157,'MAPPING MD &amp; SKENARIO'!$I$2:$J$42,2,FALSE)</f>
        <v>rasya.raharjo@muf.co.id</v>
      </c>
      <c r="J157" s="121">
        <f>VLOOKUP(D157,'MAPPING MD &amp; SKENARIO'!B:D,3,FALSE)</f>
        <v>1.3</v>
      </c>
      <c r="K157" s="121">
        <f t="shared" si="4"/>
        <v>0.65</v>
      </c>
      <c r="L157" s="121">
        <v>1</v>
      </c>
      <c r="M157" s="127">
        <f t="shared" si="5"/>
        <v>3</v>
      </c>
      <c r="P157" s="78"/>
      <c r="R157" s="118"/>
    </row>
    <row r="158" spans="1:18" s="77" customFormat="1" ht="158.4">
      <c r="A158" s="80">
        <v>155</v>
      </c>
      <c r="B158" s="120" t="s">
        <v>512</v>
      </c>
      <c r="C158" s="158"/>
      <c r="D158" s="92" t="s">
        <v>14</v>
      </c>
      <c r="E158" s="92" t="s">
        <v>292</v>
      </c>
      <c r="F158" s="92" t="s">
        <v>293</v>
      </c>
      <c r="G158" s="92" t="s">
        <v>294</v>
      </c>
      <c r="H158" s="120" t="str">
        <f>VLOOKUP(LEFT(B158,FIND("-",B158)-1),'MAPPING MD &amp; SKENARIO'!$H$2:$I$42,2,FALSE)</f>
        <v>Rasya</v>
      </c>
      <c r="I158" s="92" t="str">
        <f>VLOOKUP(H158,'MAPPING MD &amp; SKENARIO'!$I$2:$J$42,2,FALSE)</f>
        <v>rasya.raharjo@muf.co.id</v>
      </c>
      <c r="J158" s="121">
        <f>VLOOKUP(D158,'MAPPING MD &amp; SKENARIO'!B:D,3,FALSE)</f>
        <v>2.6</v>
      </c>
      <c r="K158" s="121">
        <f t="shared" si="4"/>
        <v>1.3</v>
      </c>
      <c r="L158" s="121">
        <v>1</v>
      </c>
      <c r="M158" s="127">
        <f t="shared" si="5"/>
        <v>5</v>
      </c>
      <c r="P158" s="78"/>
      <c r="R158" s="118"/>
    </row>
    <row r="159" spans="1:18" s="77" customFormat="1" ht="144">
      <c r="A159" s="80">
        <v>156</v>
      </c>
      <c r="B159" s="120" t="s">
        <v>513</v>
      </c>
      <c r="C159" s="158"/>
      <c r="D159" s="92" t="s">
        <v>16</v>
      </c>
      <c r="E159" s="92" t="s">
        <v>296</v>
      </c>
      <c r="F159" s="92" t="s">
        <v>297</v>
      </c>
      <c r="G159" s="92" t="s">
        <v>298</v>
      </c>
      <c r="H159" s="120" t="str">
        <f>VLOOKUP(LEFT(B159,FIND("-",B159)-1),'MAPPING MD &amp; SKENARIO'!$H$2:$I$42,2,FALSE)</f>
        <v>Rasya</v>
      </c>
      <c r="I159" s="92" t="str">
        <f>VLOOKUP(H159,'MAPPING MD &amp; SKENARIO'!$I$2:$J$42,2,FALSE)</f>
        <v>rasya.raharjo@muf.co.id</v>
      </c>
      <c r="J159" s="121">
        <f>VLOOKUP(D159,'MAPPING MD &amp; SKENARIO'!B:D,3,FALSE)</f>
        <v>1.3</v>
      </c>
      <c r="K159" s="121">
        <f t="shared" si="4"/>
        <v>0.65</v>
      </c>
      <c r="L159" s="121">
        <v>1</v>
      </c>
      <c r="M159" s="127">
        <f t="shared" si="5"/>
        <v>3</v>
      </c>
      <c r="P159" s="78"/>
      <c r="R159" s="118"/>
    </row>
    <row r="160" spans="1:18" s="77" customFormat="1" ht="72">
      <c r="A160" s="80">
        <v>157</v>
      </c>
      <c r="B160" s="120" t="s">
        <v>514</v>
      </c>
      <c r="C160" s="158"/>
      <c r="D160" s="92" t="s">
        <v>18</v>
      </c>
      <c r="E160" s="92" t="s">
        <v>300</v>
      </c>
      <c r="F160" s="92" t="s">
        <v>515</v>
      </c>
      <c r="G160" s="92" t="s">
        <v>516</v>
      </c>
      <c r="H160" s="120" t="str">
        <f>VLOOKUP(LEFT(B160,FIND("-",B160)-1),'MAPPING MD &amp; SKENARIO'!$H$2:$I$42,2,FALSE)</f>
        <v>Rasya</v>
      </c>
      <c r="I160" s="92" t="str">
        <f>VLOOKUP(H160,'MAPPING MD &amp; SKENARIO'!$I$2:$J$42,2,FALSE)</f>
        <v>rasya.raharjo@muf.co.id</v>
      </c>
      <c r="J160" s="121">
        <f>VLOOKUP(D160,'MAPPING MD &amp; SKENARIO'!B:D,3,FALSE)</f>
        <v>2.6</v>
      </c>
      <c r="K160" s="121">
        <f t="shared" si="4"/>
        <v>1.3</v>
      </c>
      <c r="L160" s="121">
        <v>1</v>
      </c>
      <c r="M160" s="127">
        <f t="shared" si="5"/>
        <v>5</v>
      </c>
      <c r="P160" s="78"/>
      <c r="R160" s="118"/>
    </row>
    <row r="161" spans="1:18" s="77" customFormat="1" ht="43.2">
      <c r="A161" s="80">
        <v>158</v>
      </c>
      <c r="B161" s="120" t="s">
        <v>517</v>
      </c>
      <c r="C161" s="158"/>
      <c r="D161" s="92" t="s">
        <v>38</v>
      </c>
      <c r="E161" s="92" t="s">
        <v>518</v>
      </c>
      <c r="F161" s="92" t="s">
        <v>519</v>
      </c>
      <c r="G161" s="92" t="s">
        <v>520</v>
      </c>
      <c r="H161" s="120" t="str">
        <f>VLOOKUP(LEFT(B161,FIND("-",B161)-1),'MAPPING MD &amp; SKENARIO'!$H$2:$I$42,2,FALSE)</f>
        <v>Rasya</v>
      </c>
      <c r="I161" s="92" t="str">
        <f>VLOOKUP(H161,'MAPPING MD &amp; SKENARIO'!$I$2:$J$42,2,FALSE)</f>
        <v>rasya.raharjo@muf.co.id</v>
      </c>
      <c r="J161" s="121">
        <f>VLOOKUP(D161,'MAPPING MD &amp; SKENARIO'!B:D,3,FALSE)</f>
        <v>1.95</v>
      </c>
      <c r="K161" s="121">
        <f t="shared" si="4"/>
        <v>0.97499999999999998</v>
      </c>
      <c r="L161" s="121">
        <v>1</v>
      </c>
      <c r="M161" s="127">
        <f t="shared" si="5"/>
        <v>4</v>
      </c>
      <c r="P161" s="78"/>
      <c r="R161" s="118"/>
    </row>
    <row r="162" spans="1:18" s="77" customFormat="1" ht="72">
      <c r="A162" s="80">
        <v>159</v>
      </c>
      <c r="B162" s="120" t="s">
        <v>521</v>
      </c>
      <c r="C162" s="158"/>
      <c r="D162" s="92" t="s">
        <v>18</v>
      </c>
      <c r="E162" s="92" t="s">
        <v>522</v>
      </c>
      <c r="F162" s="92" t="s">
        <v>301</v>
      </c>
      <c r="G162" s="92" t="s">
        <v>302</v>
      </c>
      <c r="H162" s="120" t="str">
        <f>VLOOKUP(LEFT(B162,FIND("-",B162)-1),'MAPPING MD &amp; SKENARIO'!$H$2:$I$42,2,FALSE)</f>
        <v>Rasya</v>
      </c>
      <c r="I162" s="92" t="str">
        <f>VLOOKUP(H162,'MAPPING MD &amp; SKENARIO'!$I$2:$J$42,2,FALSE)</f>
        <v>rasya.raharjo@muf.co.id</v>
      </c>
      <c r="J162" s="121">
        <f>VLOOKUP(D162,'MAPPING MD &amp; SKENARIO'!B:D,3,FALSE)</f>
        <v>2.6</v>
      </c>
      <c r="K162" s="121">
        <f t="shared" si="4"/>
        <v>1.3</v>
      </c>
      <c r="L162" s="121">
        <v>1</v>
      </c>
      <c r="M162" s="127">
        <f t="shared" si="5"/>
        <v>5</v>
      </c>
      <c r="P162" s="78"/>
      <c r="R162" s="118"/>
    </row>
    <row r="163" spans="1:18" s="77" customFormat="1" ht="57.6">
      <c r="A163" s="80">
        <v>160</v>
      </c>
      <c r="B163" s="120" t="s">
        <v>523</v>
      </c>
      <c r="C163" s="158"/>
      <c r="D163" s="92" t="s">
        <v>24</v>
      </c>
      <c r="E163" s="92" t="s">
        <v>304</v>
      </c>
      <c r="F163" s="92" t="s">
        <v>305</v>
      </c>
      <c r="G163" s="92" t="s">
        <v>306</v>
      </c>
      <c r="H163" s="120" t="str">
        <f>VLOOKUP(LEFT(B163,FIND("-",B163)-1),'MAPPING MD &amp; SKENARIO'!$H$2:$I$42,2,FALSE)</f>
        <v>Rasya</v>
      </c>
      <c r="I163" s="92" t="str">
        <f>VLOOKUP(H163,'MAPPING MD &amp; SKENARIO'!$I$2:$J$42,2,FALSE)</f>
        <v>rasya.raharjo@muf.co.id</v>
      </c>
      <c r="J163" s="121">
        <f>VLOOKUP(D163,'MAPPING MD &amp; SKENARIO'!B:D,3,FALSE)</f>
        <v>0.65</v>
      </c>
      <c r="K163" s="121">
        <f t="shared" si="4"/>
        <v>0.32500000000000001</v>
      </c>
      <c r="L163" s="121">
        <v>1</v>
      </c>
      <c r="M163" s="127">
        <f t="shared" si="5"/>
        <v>2</v>
      </c>
      <c r="P163" s="78"/>
      <c r="R163" s="118"/>
    </row>
    <row r="164" spans="1:18" s="77" customFormat="1" ht="86.4">
      <c r="A164" s="80">
        <v>161</v>
      </c>
      <c r="B164" s="120" t="s">
        <v>524</v>
      </c>
      <c r="C164" s="158"/>
      <c r="D164" s="92" t="s">
        <v>26</v>
      </c>
      <c r="E164" s="92" t="s">
        <v>308</v>
      </c>
      <c r="F164" s="92" t="s">
        <v>309</v>
      </c>
      <c r="G164" s="92" t="s">
        <v>310</v>
      </c>
      <c r="H164" s="120" t="str">
        <f>VLOOKUP(LEFT(B164,FIND("-",B164)-1),'MAPPING MD &amp; SKENARIO'!$H$2:$I$42,2,FALSE)</f>
        <v>Rasya</v>
      </c>
      <c r="I164" s="92" t="str">
        <f>VLOOKUP(H164,'MAPPING MD &amp; SKENARIO'!$I$2:$J$42,2,FALSE)</f>
        <v>rasya.raharjo@muf.co.id</v>
      </c>
      <c r="J164" s="121">
        <f>VLOOKUP(D164,'MAPPING MD &amp; SKENARIO'!B:D,3,FALSE)</f>
        <v>2.6</v>
      </c>
      <c r="K164" s="121">
        <f t="shared" si="4"/>
        <v>1.3</v>
      </c>
      <c r="L164" s="121">
        <v>1</v>
      </c>
      <c r="M164" s="127">
        <f t="shared" si="5"/>
        <v>5</v>
      </c>
      <c r="P164" s="78"/>
      <c r="R164" s="118"/>
    </row>
    <row r="165" spans="1:18" s="77" customFormat="1" ht="100.8">
      <c r="A165" s="80">
        <v>162</v>
      </c>
      <c r="B165" s="120" t="s">
        <v>525</v>
      </c>
      <c r="C165" s="158"/>
      <c r="D165" s="92" t="s">
        <v>28</v>
      </c>
      <c r="E165" s="92" t="s">
        <v>312</v>
      </c>
      <c r="F165" s="92" t="s">
        <v>313</v>
      </c>
      <c r="G165" s="92" t="s">
        <v>314</v>
      </c>
      <c r="H165" s="120" t="str">
        <f>VLOOKUP(LEFT(B165,FIND("-",B165)-1),'MAPPING MD &amp; SKENARIO'!$H$2:$I$42,2,FALSE)</f>
        <v>Rasya</v>
      </c>
      <c r="I165" s="92" t="str">
        <f>VLOOKUP(H165,'MAPPING MD &amp; SKENARIO'!$I$2:$J$42,2,FALSE)</f>
        <v>rasya.raharjo@muf.co.id</v>
      </c>
      <c r="J165" s="121">
        <f>VLOOKUP(D165,'MAPPING MD &amp; SKENARIO'!B:D,3,FALSE)</f>
        <v>1.95</v>
      </c>
      <c r="K165" s="121">
        <f t="shared" si="4"/>
        <v>0.97499999999999998</v>
      </c>
      <c r="L165" s="121">
        <v>1</v>
      </c>
      <c r="M165" s="127">
        <f t="shared" si="5"/>
        <v>4</v>
      </c>
      <c r="P165" s="78"/>
      <c r="R165" s="118"/>
    </row>
    <row r="166" spans="1:18" s="77" customFormat="1" ht="28.8">
      <c r="A166" s="80">
        <v>163</v>
      </c>
      <c r="B166" s="120" t="s">
        <v>526</v>
      </c>
      <c r="C166" s="158"/>
      <c r="D166" s="92" t="s">
        <v>30</v>
      </c>
      <c r="E166" s="92" t="s">
        <v>316</v>
      </c>
      <c r="F166" s="92" t="s">
        <v>317</v>
      </c>
      <c r="G166" s="92" t="s">
        <v>318</v>
      </c>
      <c r="H166" s="120" t="str">
        <f>VLOOKUP(LEFT(B166,FIND("-",B166)-1),'MAPPING MD &amp; SKENARIO'!$H$2:$I$42,2,FALSE)</f>
        <v>Rasya</v>
      </c>
      <c r="I166" s="92" t="str">
        <f>VLOOKUP(H166,'MAPPING MD &amp; SKENARIO'!$I$2:$J$42,2,FALSE)</f>
        <v>rasya.raharjo@muf.co.id</v>
      </c>
      <c r="J166" s="121">
        <f>VLOOKUP(D166,'MAPPING MD &amp; SKENARIO'!B:D,3,FALSE)</f>
        <v>0.65</v>
      </c>
      <c r="K166" s="121">
        <f t="shared" si="4"/>
        <v>0.32500000000000001</v>
      </c>
      <c r="L166" s="121">
        <v>1</v>
      </c>
      <c r="M166" s="127">
        <f t="shared" si="5"/>
        <v>2</v>
      </c>
      <c r="P166" s="78"/>
      <c r="R166" s="118"/>
    </row>
    <row r="167" spans="1:18" s="77" customFormat="1" ht="43.2">
      <c r="A167" s="80">
        <v>164</v>
      </c>
      <c r="B167" s="120" t="s">
        <v>527</v>
      </c>
      <c r="C167" s="158"/>
      <c r="D167" s="92" t="s">
        <v>32</v>
      </c>
      <c r="E167" s="92" t="s">
        <v>320</v>
      </c>
      <c r="F167" s="92" t="s">
        <v>321</v>
      </c>
      <c r="G167" s="92" t="s">
        <v>322</v>
      </c>
      <c r="H167" s="120" t="str">
        <f>VLOOKUP(LEFT(B167,FIND("-",B167)-1),'MAPPING MD &amp; SKENARIO'!$H$2:$I$42,2,FALSE)</f>
        <v>Rasya</v>
      </c>
      <c r="I167" s="92" t="str">
        <f>VLOOKUP(H167,'MAPPING MD &amp; SKENARIO'!$I$2:$J$42,2,FALSE)</f>
        <v>rasya.raharjo@muf.co.id</v>
      </c>
      <c r="J167" s="121">
        <f>VLOOKUP(D167,'MAPPING MD &amp; SKENARIO'!B:D,3,FALSE)</f>
        <v>0.65</v>
      </c>
      <c r="K167" s="121">
        <f t="shared" ref="K167" si="6">J167*50%</f>
        <v>0.32500000000000001</v>
      </c>
      <c r="L167" s="121">
        <v>1</v>
      </c>
      <c r="M167" s="127">
        <f t="shared" si="5"/>
        <v>2</v>
      </c>
      <c r="P167" s="78"/>
      <c r="R167" s="118"/>
    </row>
    <row r="168" spans="1:18" ht="72">
      <c r="A168" s="80">
        <v>187</v>
      </c>
      <c r="B168" s="120" t="s">
        <v>979</v>
      </c>
      <c r="C168" s="158" t="s">
        <v>170</v>
      </c>
      <c r="D168" s="92" t="s">
        <v>6</v>
      </c>
      <c r="E168" s="92" t="s">
        <v>276</v>
      </c>
      <c r="F168" s="92" t="s">
        <v>277</v>
      </c>
      <c r="G168" s="92" t="s">
        <v>278</v>
      </c>
      <c r="H168" s="120" t="str">
        <f>VLOOKUP(LEFT(B168,FIND("-",B168)-1),'MAPPING MD &amp; SKENARIO'!$H$2:$I$42,2,FALSE)</f>
        <v>Azhar</v>
      </c>
      <c r="I168" s="92" t="str">
        <f>VLOOKUP(H168,'MAPPING MD &amp; SKENARIO'!$I$2:$J$42,2,FALSE)</f>
        <v>azhar.azhar@muf.co.id</v>
      </c>
      <c r="J168" s="121">
        <f>VLOOKUP(D168,'MAPPING MD &amp; SKENARIO'!B:D,3,FALSE)</f>
        <v>1.3</v>
      </c>
      <c r="K168" s="121">
        <f t="shared" ref="K168:K209" si="7">J168*50%</f>
        <v>0.65</v>
      </c>
      <c r="L168" s="121">
        <v>1</v>
      </c>
      <c r="M168" s="127">
        <f t="shared" si="5"/>
        <v>3</v>
      </c>
      <c r="R168" s="118"/>
    </row>
    <row r="169" spans="1:18" ht="43.2">
      <c r="A169" s="80">
        <v>188</v>
      </c>
      <c r="B169" s="120" t="s">
        <v>980</v>
      </c>
      <c r="C169" s="158"/>
      <c r="D169" s="92" t="s">
        <v>10</v>
      </c>
      <c r="E169" s="92" t="s">
        <v>284</v>
      </c>
      <c r="F169" s="92" t="s">
        <v>285</v>
      </c>
      <c r="G169" s="92" t="s">
        <v>286</v>
      </c>
      <c r="H169" s="120" t="str">
        <f>VLOOKUP(LEFT(B169,FIND("-",B169)-1),'MAPPING MD &amp; SKENARIO'!$H$2:$I$42,2,FALSE)</f>
        <v>Azhar</v>
      </c>
      <c r="I169" s="92" t="str">
        <f>VLOOKUP(H169,'MAPPING MD &amp; SKENARIO'!$I$2:$J$42,2,FALSE)</f>
        <v>azhar.azhar@muf.co.id</v>
      </c>
      <c r="J169" s="121">
        <f>VLOOKUP(D169,'MAPPING MD &amp; SKENARIO'!B:D,3,FALSE)</f>
        <v>0.26</v>
      </c>
      <c r="K169" s="121">
        <f t="shared" si="7"/>
        <v>0.13</v>
      </c>
      <c r="L169" s="121">
        <v>1</v>
      </c>
      <c r="M169" s="127">
        <f t="shared" si="5"/>
        <v>2</v>
      </c>
      <c r="R169" s="118"/>
    </row>
    <row r="170" spans="1:18" ht="115.2">
      <c r="A170" s="80">
        <v>189</v>
      </c>
      <c r="B170" s="120" t="s">
        <v>981</v>
      </c>
      <c r="C170" s="158"/>
      <c r="D170" s="92" t="s">
        <v>12</v>
      </c>
      <c r="E170" s="92" t="s">
        <v>288</v>
      </c>
      <c r="F170" s="92" t="s">
        <v>328</v>
      </c>
      <c r="G170" s="92" t="s">
        <v>290</v>
      </c>
      <c r="H170" s="120" t="str">
        <f>VLOOKUP(LEFT(B170,FIND("-",B170)-1),'MAPPING MD &amp; SKENARIO'!$H$2:$I$42,2,FALSE)</f>
        <v>Azhar</v>
      </c>
      <c r="I170" s="92" t="str">
        <f>VLOOKUP(H170,'MAPPING MD &amp; SKENARIO'!$I$2:$J$42,2,FALSE)</f>
        <v>azhar.azhar@muf.co.id</v>
      </c>
      <c r="J170" s="121">
        <f>VLOOKUP(D170,'MAPPING MD &amp; SKENARIO'!B:D,3,FALSE)</f>
        <v>1.3</v>
      </c>
      <c r="K170" s="121">
        <f t="shared" si="7"/>
        <v>0.65</v>
      </c>
      <c r="L170" s="121">
        <v>1</v>
      </c>
      <c r="M170" s="127">
        <f t="shared" si="5"/>
        <v>3</v>
      </c>
      <c r="R170" s="118"/>
    </row>
    <row r="171" spans="1:18" ht="158.4">
      <c r="A171" s="80">
        <v>190</v>
      </c>
      <c r="B171" s="120" t="s">
        <v>982</v>
      </c>
      <c r="C171" s="158"/>
      <c r="D171" s="92" t="s">
        <v>14</v>
      </c>
      <c r="E171" s="92" t="s">
        <v>292</v>
      </c>
      <c r="F171" s="92" t="s">
        <v>293</v>
      </c>
      <c r="G171" s="92" t="s">
        <v>294</v>
      </c>
      <c r="H171" s="120" t="str">
        <f>VLOOKUP(LEFT(B171,FIND("-",B171)-1),'MAPPING MD &amp; SKENARIO'!$H$2:$I$42,2,FALSE)</f>
        <v>Azhar</v>
      </c>
      <c r="I171" s="92" t="str">
        <f>VLOOKUP(H171,'MAPPING MD &amp; SKENARIO'!$I$2:$J$42,2,FALSE)</f>
        <v>azhar.azhar@muf.co.id</v>
      </c>
      <c r="J171" s="121">
        <f>VLOOKUP(D171,'MAPPING MD &amp; SKENARIO'!B:D,3,FALSE)</f>
        <v>2.6</v>
      </c>
      <c r="K171" s="121">
        <f t="shared" si="7"/>
        <v>1.3</v>
      </c>
      <c r="L171" s="121">
        <v>1</v>
      </c>
      <c r="M171" s="127">
        <f t="shared" si="5"/>
        <v>5</v>
      </c>
      <c r="R171" s="118"/>
    </row>
    <row r="172" spans="1:18" ht="144">
      <c r="A172" s="80">
        <v>191</v>
      </c>
      <c r="B172" s="120" t="s">
        <v>983</v>
      </c>
      <c r="C172" s="158"/>
      <c r="D172" s="92" t="s">
        <v>20</v>
      </c>
      <c r="E172" s="92" t="s">
        <v>463</v>
      </c>
      <c r="F172" s="92" t="s">
        <v>333</v>
      </c>
      <c r="G172" s="92" t="s">
        <v>334</v>
      </c>
      <c r="H172" s="120" t="str">
        <f>VLOOKUP(LEFT(B172,FIND("-",B172)-1),'MAPPING MD &amp; SKENARIO'!$H$2:$I$42,2,FALSE)</f>
        <v>Azhar</v>
      </c>
      <c r="I172" s="92" t="str">
        <f>VLOOKUP(H172,'MAPPING MD &amp; SKENARIO'!$I$2:$J$42,2,FALSE)</f>
        <v>azhar.azhar@muf.co.id</v>
      </c>
      <c r="J172" s="121">
        <f>VLOOKUP(D172,'MAPPING MD &amp; SKENARIO'!B:D,3,FALSE)</f>
        <v>1.3</v>
      </c>
      <c r="K172" s="121">
        <f t="shared" si="7"/>
        <v>0.65</v>
      </c>
      <c r="L172" s="121">
        <v>1</v>
      </c>
      <c r="M172" s="127">
        <f t="shared" si="5"/>
        <v>3</v>
      </c>
      <c r="R172" s="118"/>
    </row>
    <row r="173" spans="1:18" ht="100.8">
      <c r="A173" s="80">
        <v>192</v>
      </c>
      <c r="B173" s="120" t="s">
        <v>984</v>
      </c>
      <c r="C173" s="158"/>
      <c r="D173" s="92" t="s">
        <v>22</v>
      </c>
      <c r="E173" s="92" t="s">
        <v>379</v>
      </c>
      <c r="F173" s="92" t="s">
        <v>450</v>
      </c>
      <c r="G173" s="92" t="s">
        <v>534</v>
      </c>
      <c r="H173" s="120" t="str">
        <f>VLOOKUP(LEFT(B173,FIND("-",B173)-1),'MAPPING MD &amp; SKENARIO'!$H$2:$I$42,2,FALSE)</f>
        <v>Azhar</v>
      </c>
      <c r="I173" s="92" t="str">
        <f>VLOOKUP(H173,'MAPPING MD &amp; SKENARIO'!$I$2:$J$42,2,FALSE)</f>
        <v>azhar.azhar@muf.co.id</v>
      </c>
      <c r="J173" s="121">
        <f>VLOOKUP(D173,'MAPPING MD &amp; SKENARIO'!B:D,3,FALSE)</f>
        <v>1.3</v>
      </c>
      <c r="K173" s="121">
        <f t="shared" si="7"/>
        <v>0.65</v>
      </c>
      <c r="L173" s="121">
        <v>1</v>
      </c>
      <c r="M173" s="127">
        <f t="shared" si="5"/>
        <v>3</v>
      </c>
      <c r="R173" s="118"/>
    </row>
    <row r="174" spans="1:18" ht="57.6">
      <c r="A174" s="80">
        <v>193</v>
      </c>
      <c r="B174" s="120" t="s">
        <v>985</v>
      </c>
      <c r="C174" s="158"/>
      <c r="D174" s="92" t="s">
        <v>24</v>
      </c>
      <c r="E174" s="92" t="s">
        <v>304</v>
      </c>
      <c r="F174" s="92" t="s">
        <v>305</v>
      </c>
      <c r="G174" s="92" t="s">
        <v>306</v>
      </c>
      <c r="H174" s="120" t="str">
        <f>VLOOKUP(LEFT(B174,FIND("-",B174)-1),'MAPPING MD &amp; SKENARIO'!$H$2:$I$42,2,FALSE)</f>
        <v>Azhar</v>
      </c>
      <c r="I174" s="92" t="str">
        <f>VLOOKUP(H174,'MAPPING MD &amp; SKENARIO'!$I$2:$J$42,2,FALSE)</f>
        <v>azhar.azhar@muf.co.id</v>
      </c>
      <c r="J174" s="121">
        <f>VLOOKUP(D174,'MAPPING MD &amp; SKENARIO'!B:D,3,FALSE)</f>
        <v>0.65</v>
      </c>
      <c r="K174" s="121">
        <f t="shared" si="7"/>
        <v>0.32500000000000001</v>
      </c>
      <c r="L174" s="121">
        <v>1</v>
      </c>
      <c r="M174" s="127">
        <f t="shared" si="5"/>
        <v>2</v>
      </c>
      <c r="R174" s="118"/>
    </row>
    <row r="175" spans="1:18" ht="86.4">
      <c r="A175" s="80">
        <v>194</v>
      </c>
      <c r="B175" s="120" t="s">
        <v>986</v>
      </c>
      <c r="C175" s="158"/>
      <c r="D175" s="92" t="s">
        <v>26</v>
      </c>
      <c r="E175" s="92" t="s">
        <v>308</v>
      </c>
      <c r="F175" s="92" t="s">
        <v>309</v>
      </c>
      <c r="G175" s="92" t="s">
        <v>310</v>
      </c>
      <c r="H175" s="120" t="str">
        <f>VLOOKUP(LEFT(B175,FIND("-",B175)-1),'MAPPING MD &amp; SKENARIO'!$H$2:$I$42,2,FALSE)</f>
        <v>Azhar</v>
      </c>
      <c r="I175" s="92" t="str">
        <f>VLOOKUP(H175,'MAPPING MD &amp; SKENARIO'!$I$2:$J$42,2,FALSE)</f>
        <v>azhar.azhar@muf.co.id</v>
      </c>
      <c r="J175" s="121">
        <f>VLOOKUP(D175,'MAPPING MD &amp; SKENARIO'!B:D,3,FALSE)</f>
        <v>2.6</v>
      </c>
      <c r="K175" s="121">
        <f t="shared" si="7"/>
        <v>1.3</v>
      </c>
      <c r="L175" s="121">
        <v>1</v>
      </c>
      <c r="M175" s="127">
        <f t="shared" si="5"/>
        <v>5</v>
      </c>
      <c r="R175" s="118"/>
    </row>
    <row r="176" spans="1:18" ht="100.8">
      <c r="A176" s="80">
        <v>195</v>
      </c>
      <c r="B176" s="120" t="s">
        <v>987</v>
      </c>
      <c r="C176" s="158"/>
      <c r="D176" s="92" t="s">
        <v>28</v>
      </c>
      <c r="E176" s="92" t="s">
        <v>312</v>
      </c>
      <c r="F176" s="92" t="s">
        <v>313</v>
      </c>
      <c r="G176" s="92" t="s">
        <v>314</v>
      </c>
      <c r="H176" s="120" t="str">
        <f>VLOOKUP(LEFT(B176,FIND("-",B176)-1),'MAPPING MD &amp; SKENARIO'!$H$2:$I$42,2,FALSE)</f>
        <v>Azhar</v>
      </c>
      <c r="I176" s="92" t="str">
        <f>VLOOKUP(H176,'MAPPING MD &amp; SKENARIO'!$I$2:$J$42,2,FALSE)</f>
        <v>azhar.azhar@muf.co.id</v>
      </c>
      <c r="J176" s="121">
        <f>VLOOKUP(D176,'MAPPING MD &amp; SKENARIO'!B:D,3,FALSE)</f>
        <v>1.95</v>
      </c>
      <c r="K176" s="121">
        <f t="shared" si="7"/>
        <v>0.97499999999999998</v>
      </c>
      <c r="L176" s="121">
        <v>1</v>
      </c>
      <c r="M176" s="127">
        <f t="shared" si="5"/>
        <v>4</v>
      </c>
      <c r="R176" s="118"/>
    </row>
    <row r="177" spans="1:18" ht="28.8">
      <c r="A177" s="80">
        <v>196</v>
      </c>
      <c r="B177" s="120" t="s">
        <v>988</v>
      </c>
      <c r="C177" s="158"/>
      <c r="D177" s="92" t="s">
        <v>30</v>
      </c>
      <c r="E177" s="92" t="s">
        <v>316</v>
      </c>
      <c r="F177" s="92" t="s">
        <v>317</v>
      </c>
      <c r="G177" s="92" t="s">
        <v>318</v>
      </c>
      <c r="H177" s="120" t="str">
        <f>VLOOKUP(LEFT(B177,FIND("-",B177)-1),'MAPPING MD &amp; SKENARIO'!$H$2:$I$42,2,FALSE)</f>
        <v>Azhar</v>
      </c>
      <c r="I177" s="92" t="str">
        <f>VLOOKUP(H177,'MAPPING MD &amp; SKENARIO'!$I$2:$J$42,2,FALSE)</f>
        <v>azhar.azhar@muf.co.id</v>
      </c>
      <c r="J177" s="121">
        <f>VLOOKUP(D177,'MAPPING MD &amp; SKENARIO'!B:D,3,FALSE)</f>
        <v>0.65</v>
      </c>
      <c r="K177" s="121">
        <f t="shared" si="7"/>
        <v>0.32500000000000001</v>
      </c>
      <c r="L177" s="121">
        <v>1</v>
      </c>
      <c r="M177" s="127">
        <f t="shared" si="5"/>
        <v>2</v>
      </c>
      <c r="R177" s="118"/>
    </row>
    <row r="178" spans="1:18" ht="43.2">
      <c r="A178" s="80">
        <v>197</v>
      </c>
      <c r="B178" s="120" t="s">
        <v>989</v>
      </c>
      <c r="C178" s="158"/>
      <c r="D178" s="92" t="s">
        <v>32</v>
      </c>
      <c r="E178" s="92" t="s">
        <v>320</v>
      </c>
      <c r="F178" s="92" t="s">
        <v>321</v>
      </c>
      <c r="G178" s="92" t="s">
        <v>322</v>
      </c>
      <c r="H178" s="120" t="str">
        <f>VLOOKUP(LEFT(B178,FIND("-",B178)-1),'MAPPING MD &amp; SKENARIO'!$H$2:$I$42,2,FALSE)</f>
        <v>Azhar</v>
      </c>
      <c r="I178" s="92" t="str">
        <f>VLOOKUP(H178,'MAPPING MD &amp; SKENARIO'!$I$2:$J$42,2,FALSE)</f>
        <v>azhar.azhar@muf.co.id</v>
      </c>
      <c r="J178" s="121">
        <f>VLOOKUP(D178,'MAPPING MD &amp; SKENARIO'!B:D,3,FALSE)</f>
        <v>0.65</v>
      </c>
      <c r="K178" s="121">
        <f t="shared" si="7"/>
        <v>0.32500000000000001</v>
      </c>
      <c r="L178" s="121">
        <v>1</v>
      </c>
      <c r="M178" s="127">
        <f t="shared" si="5"/>
        <v>2</v>
      </c>
      <c r="R178" s="118"/>
    </row>
    <row r="179" spans="1:18" ht="72">
      <c r="A179" s="80">
        <v>198</v>
      </c>
      <c r="B179" s="120" t="s">
        <v>990</v>
      </c>
      <c r="C179" s="158" t="s">
        <v>171</v>
      </c>
      <c r="D179" s="92" t="s">
        <v>6</v>
      </c>
      <c r="E179" s="92" t="s">
        <v>276</v>
      </c>
      <c r="F179" s="92" t="s">
        <v>277</v>
      </c>
      <c r="G179" s="92" t="s">
        <v>278</v>
      </c>
      <c r="H179" s="120" t="str">
        <f>VLOOKUP(LEFT(B179,FIND("-",B179)-1),'MAPPING MD &amp; SKENARIO'!$H$2:$I$42,2,FALSE)</f>
        <v>Affinia</v>
      </c>
      <c r="I179" s="92" t="str">
        <f>VLOOKUP(H179,'MAPPING MD &amp; SKENARIO'!$I$2:$J$42,2,FALSE)</f>
        <v>affinia.by@muf.co.id</v>
      </c>
      <c r="J179" s="121">
        <f>VLOOKUP(D179,'MAPPING MD &amp; SKENARIO'!B:D,3,FALSE)</f>
        <v>1.3</v>
      </c>
      <c r="K179" s="121">
        <f t="shared" si="7"/>
        <v>0.65</v>
      </c>
      <c r="L179" s="121">
        <v>1</v>
      </c>
      <c r="M179" s="127">
        <f t="shared" si="5"/>
        <v>3</v>
      </c>
      <c r="R179" s="118"/>
    </row>
    <row r="180" spans="1:18" ht="43.2">
      <c r="A180" s="80">
        <v>199</v>
      </c>
      <c r="B180" s="120" t="s">
        <v>991</v>
      </c>
      <c r="C180" s="158"/>
      <c r="D180" s="92" t="s">
        <v>10</v>
      </c>
      <c r="E180" s="92" t="s">
        <v>284</v>
      </c>
      <c r="F180" s="92" t="s">
        <v>285</v>
      </c>
      <c r="G180" s="92" t="s">
        <v>286</v>
      </c>
      <c r="H180" s="120" t="str">
        <f>VLOOKUP(LEFT(B180,FIND("-",B180)-1),'MAPPING MD &amp; SKENARIO'!$H$2:$I$42,2,FALSE)</f>
        <v>Affinia</v>
      </c>
      <c r="I180" s="92" t="str">
        <f>VLOOKUP(H180,'MAPPING MD &amp; SKENARIO'!$I$2:$J$42,2,FALSE)</f>
        <v>affinia.by@muf.co.id</v>
      </c>
      <c r="J180" s="121">
        <f>VLOOKUP(D180,'MAPPING MD &amp; SKENARIO'!B:D,3,FALSE)</f>
        <v>0.26</v>
      </c>
      <c r="K180" s="121">
        <f t="shared" si="7"/>
        <v>0.13</v>
      </c>
      <c r="L180" s="121">
        <v>1</v>
      </c>
      <c r="M180" s="127">
        <f t="shared" si="5"/>
        <v>2</v>
      </c>
      <c r="R180" s="118"/>
    </row>
    <row r="181" spans="1:18" ht="115.2">
      <c r="A181" s="80">
        <v>200</v>
      </c>
      <c r="B181" s="120" t="s">
        <v>992</v>
      </c>
      <c r="C181" s="158"/>
      <c r="D181" s="92" t="s">
        <v>12</v>
      </c>
      <c r="E181" s="92" t="s">
        <v>327</v>
      </c>
      <c r="F181" s="92" t="s">
        <v>391</v>
      </c>
      <c r="G181" s="92" t="s">
        <v>290</v>
      </c>
      <c r="H181" s="120" t="str">
        <f>VLOOKUP(LEFT(B181,FIND("-",B181)-1),'MAPPING MD &amp; SKENARIO'!$H$2:$I$42,2,FALSE)</f>
        <v>Affinia</v>
      </c>
      <c r="I181" s="92" t="str">
        <f>VLOOKUP(H181,'MAPPING MD &amp; SKENARIO'!$I$2:$J$42,2,FALSE)</f>
        <v>affinia.by@muf.co.id</v>
      </c>
      <c r="J181" s="121">
        <f>VLOOKUP(D181,'MAPPING MD &amp; SKENARIO'!B:D,3,FALSE)</f>
        <v>1.3</v>
      </c>
      <c r="K181" s="121">
        <f t="shared" si="7"/>
        <v>0.65</v>
      </c>
      <c r="L181" s="121">
        <v>1</v>
      </c>
      <c r="M181" s="127">
        <f t="shared" si="5"/>
        <v>3</v>
      </c>
      <c r="R181" s="118"/>
    </row>
    <row r="182" spans="1:18" ht="158.4">
      <c r="A182" s="80">
        <v>201</v>
      </c>
      <c r="B182" s="120" t="s">
        <v>993</v>
      </c>
      <c r="C182" s="158"/>
      <c r="D182" s="92" t="s">
        <v>14</v>
      </c>
      <c r="E182" s="92" t="s">
        <v>330</v>
      </c>
      <c r="F182" s="92" t="s">
        <v>293</v>
      </c>
      <c r="G182" s="92" t="s">
        <v>294</v>
      </c>
      <c r="H182" s="120" t="str">
        <f>VLOOKUP(LEFT(B182,FIND("-",B182)-1),'MAPPING MD &amp; SKENARIO'!$H$2:$I$42,2,FALSE)</f>
        <v>Affinia</v>
      </c>
      <c r="I182" s="92" t="str">
        <f>VLOOKUP(H182,'MAPPING MD &amp; SKENARIO'!$I$2:$J$42,2,FALSE)</f>
        <v>affinia.by@muf.co.id</v>
      </c>
      <c r="J182" s="121">
        <f>VLOOKUP(D182,'MAPPING MD &amp; SKENARIO'!B:D,3,FALSE)</f>
        <v>2.6</v>
      </c>
      <c r="K182" s="121">
        <f t="shared" si="7"/>
        <v>1.3</v>
      </c>
      <c r="L182" s="121">
        <v>1</v>
      </c>
      <c r="M182" s="127">
        <f t="shared" si="5"/>
        <v>5</v>
      </c>
      <c r="R182" s="118"/>
    </row>
    <row r="183" spans="1:18" ht="144">
      <c r="A183" s="80">
        <v>202</v>
      </c>
      <c r="B183" s="120" t="s">
        <v>994</v>
      </c>
      <c r="C183" s="158"/>
      <c r="D183" s="92" t="s">
        <v>16</v>
      </c>
      <c r="E183" s="92" t="s">
        <v>394</v>
      </c>
      <c r="F183" s="92" t="s">
        <v>395</v>
      </c>
      <c r="G183" s="92" t="s">
        <v>298</v>
      </c>
      <c r="H183" s="120" t="str">
        <f>VLOOKUP(LEFT(B183,FIND("-",B183)-1),'MAPPING MD &amp; SKENARIO'!$H$2:$I$42,2,FALSE)</f>
        <v>Affinia</v>
      </c>
      <c r="I183" s="92" t="str">
        <f>VLOOKUP(H183,'MAPPING MD &amp; SKENARIO'!$I$2:$J$42,2,FALSE)</f>
        <v>affinia.by@muf.co.id</v>
      </c>
      <c r="J183" s="121">
        <f>VLOOKUP(D183,'MAPPING MD &amp; SKENARIO'!B:D,3,FALSE)</f>
        <v>1.3</v>
      </c>
      <c r="K183" s="121">
        <f t="shared" si="7"/>
        <v>0.65</v>
      </c>
      <c r="L183" s="121">
        <v>1</v>
      </c>
      <c r="M183" s="127">
        <f t="shared" si="5"/>
        <v>3</v>
      </c>
      <c r="R183" s="118"/>
    </row>
    <row r="184" spans="1:18" ht="84.75" customHeight="1">
      <c r="A184" s="80">
        <v>203</v>
      </c>
      <c r="B184" s="120" t="s">
        <v>995</v>
      </c>
      <c r="C184" s="158"/>
      <c r="D184" s="92" t="s">
        <v>18</v>
      </c>
      <c r="E184" s="92" t="s">
        <v>344</v>
      </c>
      <c r="F184" s="92" t="s">
        <v>301</v>
      </c>
      <c r="G184" s="92" t="s">
        <v>302</v>
      </c>
      <c r="H184" s="120" t="str">
        <f>VLOOKUP(LEFT(B184,FIND("-",B184)-1),'MAPPING MD &amp; SKENARIO'!$H$2:$I$42,2,FALSE)</f>
        <v>Affinia</v>
      </c>
      <c r="I184" s="92" t="str">
        <f>VLOOKUP(H184,'MAPPING MD &amp; SKENARIO'!$I$2:$J$42,2,FALSE)</f>
        <v>affinia.by@muf.co.id</v>
      </c>
      <c r="J184" s="121">
        <f>VLOOKUP(D184,'MAPPING MD &amp; SKENARIO'!B:D,3,FALSE)</f>
        <v>2.6</v>
      </c>
      <c r="K184" s="121">
        <f t="shared" si="7"/>
        <v>1.3</v>
      </c>
      <c r="L184" s="121">
        <v>1</v>
      </c>
      <c r="M184" s="127">
        <f t="shared" si="5"/>
        <v>5</v>
      </c>
      <c r="R184" s="118"/>
    </row>
    <row r="185" spans="1:18" ht="69.75" customHeight="1">
      <c r="A185" s="80">
        <v>204</v>
      </c>
      <c r="B185" s="120" t="s">
        <v>996</v>
      </c>
      <c r="C185" s="158"/>
      <c r="D185" s="92" t="s">
        <v>24</v>
      </c>
      <c r="E185" s="92" t="s">
        <v>304</v>
      </c>
      <c r="F185" s="92" t="s">
        <v>305</v>
      </c>
      <c r="G185" s="92" t="s">
        <v>306</v>
      </c>
      <c r="H185" s="120" t="str">
        <f>VLOOKUP(LEFT(B185,FIND("-",B185)-1),'MAPPING MD &amp; SKENARIO'!$H$2:$I$42,2,FALSE)</f>
        <v>Affinia</v>
      </c>
      <c r="I185" s="92" t="str">
        <f>VLOOKUP(H185,'MAPPING MD &amp; SKENARIO'!$I$2:$J$42,2,FALSE)</f>
        <v>affinia.by@muf.co.id</v>
      </c>
      <c r="J185" s="121">
        <f>VLOOKUP(D185,'MAPPING MD &amp; SKENARIO'!B:D,3,FALSE)</f>
        <v>0.65</v>
      </c>
      <c r="K185" s="121">
        <f t="shared" si="7"/>
        <v>0.32500000000000001</v>
      </c>
      <c r="L185" s="121">
        <v>1</v>
      </c>
      <c r="M185" s="127">
        <f t="shared" si="5"/>
        <v>2</v>
      </c>
      <c r="R185" s="118"/>
    </row>
    <row r="186" spans="1:18" ht="69.75" customHeight="1">
      <c r="A186" s="80">
        <v>205</v>
      </c>
      <c r="B186" s="120" t="s">
        <v>997</v>
      </c>
      <c r="C186" s="158"/>
      <c r="D186" s="92" t="s">
        <v>26</v>
      </c>
      <c r="E186" s="92" t="s">
        <v>308</v>
      </c>
      <c r="F186" s="92" t="s">
        <v>412</v>
      </c>
      <c r="G186" s="92" t="s">
        <v>413</v>
      </c>
      <c r="H186" s="120" t="str">
        <f>VLOOKUP(LEFT(B186,FIND("-",B186)-1),'MAPPING MD &amp; SKENARIO'!$H$2:$I$42,2,FALSE)</f>
        <v>Affinia</v>
      </c>
      <c r="I186" s="92" t="str">
        <f>VLOOKUP(H186,'MAPPING MD &amp; SKENARIO'!$I$2:$J$42,2,FALSE)</f>
        <v>affinia.by@muf.co.id</v>
      </c>
      <c r="J186" s="121">
        <f>VLOOKUP(D186,'MAPPING MD &amp; SKENARIO'!B:D,3,FALSE)</f>
        <v>2.6</v>
      </c>
      <c r="K186" s="121">
        <f t="shared" si="7"/>
        <v>1.3</v>
      </c>
      <c r="L186" s="121">
        <v>1</v>
      </c>
      <c r="M186" s="127">
        <f t="shared" si="5"/>
        <v>5</v>
      </c>
      <c r="R186" s="118"/>
    </row>
    <row r="187" spans="1:18" ht="39.75" customHeight="1">
      <c r="A187" s="80">
        <v>206</v>
      </c>
      <c r="B187" s="120" t="s">
        <v>998</v>
      </c>
      <c r="C187" s="158"/>
      <c r="D187" s="92" t="s">
        <v>36</v>
      </c>
      <c r="E187" s="92" t="s">
        <v>415</v>
      </c>
      <c r="F187" s="92" t="s">
        <v>416</v>
      </c>
      <c r="G187" s="92" t="s">
        <v>417</v>
      </c>
      <c r="H187" s="120" t="str">
        <f>VLOOKUP(LEFT(B187,FIND("-",B187)-1),'MAPPING MD &amp; SKENARIO'!$H$2:$I$42,2,FALSE)</f>
        <v>Affinia</v>
      </c>
      <c r="I187" s="92" t="str">
        <f>VLOOKUP(H187,'MAPPING MD &amp; SKENARIO'!$I$2:$J$42,2,FALSE)</f>
        <v>affinia.by@muf.co.id</v>
      </c>
      <c r="J187" s="121">
        <f>VLOOKUP(D187,'MAPPING MD &amp; SKENARIO'!B:D,3,FALSE)</f>
        <v>0.65</v>
      </c>
      <c r="K187" s="121">
        <f t="shared" si="7"/>
        <v>0.32500000000000001</v>
      </c>
      <c r="L187" s="121">
        <v>1</v>
      </c>
      <c r="M187" s="127">
        <f t="shared" si="5"/>
        <v>2</v>
      </c>
      <c r="R187" s="118"/>
    </row>
    <row r="188" spans="1:18" ht="46.5" customHeight="1">
      <c r="A188" s="80">
        <v>207</v>
      </c>
      <c r="B188" s="120" t="s">
        <v>999</v>
      </c>
      <c r="C188" s="158"/>
      <c r="D188" s="92" t="s">
        <v>38</v>
      </c>
      <c r="E188" s="92" t="s">
        <v>518</v>
      </c>
      <c r="F188" s="92" t="s">
        <v>519</v>
      </c>
      <c r="G188" s="92" t="s">
        <v>520</v>
      </c>
      <c r="H188" s="120" t="str">
        <f>VLOOKUP(LEFT(B188,FIND("-",B188)-1),'MAPPING MD &amp; SKENARIO'!$H$2:$I$42,2,FALSE)</f>
        <v>Affinia</v>
      </c>
      <c r="I188" s="92" t="str">
        <f>VLOOKUP(H188,'MAPPING MD &amp; SKENARIO'!$I$2:$J$42,2,FALSE)</f>
        <v>affinia.by@muf.co.id</v>
      </c>
      <c r="J188" s="121">
        <f>VLOOKUP(D188,'MAPPING MD &amp; SKENARIO'!B:D,3,FALSE)</f>
        <v>1.95</v>
      </c>
      <c r="K188" s="121">
        <f t="shared" si="7"/>
        <v>0.97499999999999998</v>
      </c>
      <c r="L188" s="121">
        <v>1</v>
      </c>
      <c r="M188" s="127">
        <f t="shared" si="5"/>
        <v>4</v>
      </c>
      <c r="R188" s="118"/>
    </row>
    <row r="189" spans="1:18" ht="87" customHeight="1">
      <c r="A189" s="80">
        <v>208</v>
      </c>
      <c r="B189" s="120" t="s">
        <v>1000</v>
      </c>
      <c r="C189" s="158"/>
      <c r="D189" s="92" t="s">
        <v>18</v>
      </c>
      <c r="E189" s="92" t="s">
        <v>344</v>
      </c>
      <c r="F189" s="92" t="s">
        <v>301</v>
      </c>
      <c r="G189" s="92" t="s">
        <v>302</v>
      </c>
      <c r="H189" s="120" t="str">
        <f>VLOOKUP(LEFT(B189,FIND("-",B189)-1),'MAPPING MD &amp; SKENARIO'!$H$2:$I$42,2,FALSE)</f>
        <v>Affinia</v>
      </c>
      <c r="I189" s="92" t="str">
        <f>VLOOKUP(H189,'MAPPING MD &amp; SKENARIO'!$I$2:$J$42,2,FALSE)</f>
        <v>affinia.by@muf.co.id</v>
      </c>
      <c r="J189" s="121">
        <f>VLOOKUP(D189,'MAPPING MD &amp; SKENARIO'!B:D,3,FALSE)</f>
        <v>2.6</v>
      </c>
      <c r="K189" s="121">
        <f t="shared" si="7"/>
        <v>1.3</v>
      </c>
      <c r="L189" s="121">
        <v>1</v>
      </c>
      <c r="M189" s="127">
        <f t="shared" si="5"/>
        <v>5</v>
      </c>
      <c r="R189" s="118"/>
    </row>
    <row r="190" spans="1:18" ht="57.6">
      <c r="A190" s="80">
        <v>209</v>
      </c>
      <c r="B190" s="120" t="s">
        <v>1001</v>
      </c>
      <c r="C190" s="158"/>
      <c r="D190" s="92" t="s">
        <v>24</v>
      </c>
      <c r="E190" s="92" t="s">
        <v>304</v>
      </c>
      <c r="F190" s="92" t="s">
        <v>305</v>
      </c>
      <c r="G190" s="92" t="s">
        <v>306</v>
      </c>
      <c r="H190" s="120" t="str">
        <f>VLOOKUP(LEFT(B190,FIND("-",B190)-1),'MAPPING MD &amp; SKENARIO'!$H$2:$I$42,2,FALSE)</f>
        <v>Affinia</v>
      </c>
      <c r="I190" s="92" t="str">
        <f>VLOOKUP(H190,'MAPPING MD &amp; SKENARIO'!$I$2:$J$42,2,FALSE)</f>
        <v>affinia.by@muf.co.id</v>
      </c>
      <c r="J190" s="121">
        <f>VLOOKUP(D190,'MAPPING MD &amp; SKENARIO'!B:D,3,FALSE)</f>
        <v>0.65</v>
      </c>
      <c r="K190" s="121">
        <f t="shared" si="7"/>
        <v>0.32500000000000001</v>
      </c>
      <c r="L190" s="121">
        <v>1</v>
      </c>
      <c r="M190" s="127">
        <f t="shared" si="5"/>
        <v>2</v>
      </c>
      <c r="R190" s="118"/>
    </row>
    <row r="191" spans="1:18" ht="102.75" customHeight="1">
      <c r="A191" s="80">
        <v>210</v>
      </c>
      <c r="B191" s="120" t="s">
        <v>1002</v>
      </c>
      <c r="C191" s="158"/>
      <c r="D191" s="92" t="s">
        <v>26</v>
      </c>
      <c r="E191" s="92" t="s">
        <v>308</v>
      </c>
      <c r="F191" s="92" t="s">
        <v>309</v>
      </c>
      <c r="G191" s="92" t="s">
        <v>310</v>
      </c>
      <c r="H191" s="120" t="str">
        <f>VLOOKUP(LEFT(B191,FIND("-",B191)-1),'MAPPING MD &amp; SKENARIO'!$H$2:$I$42,2,FALSE)</f>
        <v>Affinia</v>
      </c>
      <c r="I191" s="92" t="str">
        <f>VLOOKUP(H191,'MAPPING MD &amp; SKENARIO'!$I$2:$J$42,2,FALSE)</f>
        <v>affinia.by@muf.co.id</v>
      </c>
      <c r="J191" s="121">
        <f>VLOOKUP(D191,'MAPPING MD &amp; SKENARIO'!B:D,3,FALSE)</f>
        <v>2.6</v>
      </c>
      <c r="K191" s="121">
        <f t="shared" si="7"/>
        <v>1.3</v>
      </c>
      <c r="L191" s="121">
        <v>1</v>
      </c>
      <c r="M191" s="127">
        <f t="shared" si="5"/>
        <v>5</v>
      </c>
      <c r="R191" s="118"/>
    </row>
    <row r="192" spans="1:18" ht="100.8">
      <c r="A192" s="80">
        <v>211</v>
      </c>
      <c r="B192" s="120" t="s">
        <v>1003</v>
      </c>
      <c r="C192" s="158"/>
      <c r="D192" s="92" t="s">
        <v>28</v>
      </c>
      <c r="E192" s="92" t="s">
        <v>312</v>
      </c>
      <c r="F192" s="92" t="s">
        <v>313</v>
      </c>
      <c r="G192" s="92" t="s">
        <v>314</v>
      </c>
      <c r="H192" s="120" t="str">
        <f>VLOOKUP(LEFT(B192,FIND("-",B192)-1),'MAPPING MD &amp; SKENARIO'!$H$2:$I$42,2,FALSE)</f>
        <v>Affinia</v>
      </c>
      <c r="I192" s="92" t="str">
        <f>VLOOKUP(H192,'MAPPING MD &amp; SKENARIO'!$I$2:$J$42,2,FALSE)</f>
        <v>affinia.by@muf.co.id</v>
      </c>
      <c r="J192" s="121">
        <f>VLOOKUP(D192,'MAPPING MD &amp; SKENARIO'!B:D,3,FALSE)</f>
        <v>1.95</v>
      </c>
      <c r="K192" s="121">
        <f t="shared" si="7"/>
        <v>0.97499999999999998</v>
      </c>
      <c r="L192" s="121">
        <v>1</v>
      </c>
      <c r="M192" s="127">
        <f t="shared" si="5"/>
        <v>4</v>
      </c>
      <c r="R192" s="118"/>
    </row>
    <row r="193" spans="1:18" ht="33" customHeight="1">
      <c r="A193" s="80">
        <v>212</v>
      </c>
      <c r="B193" s="120" t="s">
        <v>1004</v>
      </c>
      <c r="C193" s="158"/>
      <c r="D193" s="92" t="s">
        <v>30</v>
      </c>
      <c r="E193" s="92" t="s">
        <v>316</v>
      </c>
      <c r="F193" s="92" t="s">
        <v>317</v>
      </c>
      <c r="G193" s="92" t="s">
        <v>318</v>
      </c>
      <c r="H193" s="120" t="str">
        <f>VLOOKUP(LEFT(B193,FIND("-",B193)-1),'MAPPING MD &amp; SKENARIO'!$H$2:$I$42,2,FALSE)</f>
        <v>Affinia</v>
      </c>
      <c r="I193" s="92" t="str">
        <f>VLOOKUP(H193,'MAPPING MD &amp; SKENARIO'!$I$2:$J$42,2,FALSE)</f>
        <v>affinia.by@muf.co.id</v>
      </c>
      <c r="J193" s="121">
        <f>VLOOKUP(D193,'MAPPING MD &amp; SKENARIO'!B:D,3,FALSE)</f>
        <v>0.65</v>
      </c>
      <c r="K193" s="121">
        <f t="shared" si="7"/>
        <v>0.32500000000000001</v>
      </c>
      <c r="L193" s="121">
        <v>1</v>
      </c>
      <c r="M193" s="127">
        <f t="shared" si="5"/>
        <v>2</v>
      </c>
      <c r="R193" s="118"/>
    </row>
    <row r="194" spans="1:18" ht="43.2">
      <c r="A194" s="80">
        <v>213</v>
      </c>
      <c r="B194" s="120" t="s">
        <v>1005</v>
      </c>
      <c r="C194" s="158"/>
      <c r="D194" s="92" t="s">
        <v>32</v>
      </c>
      <c r="E194" s="92" t="s">
        <v>320</v>
      </c>
      <c r="F194" s="92" t="s">
        <v>321</v>
      </c>
      <c r="G194" s="92" t="s">
        <v>322</v>
      </c>
      <c r="H194" s="120" t="str">
        <f>VLOOKUP(LEFT(B194,FIND("-",B194)-1),'MAPPING MD &amp; SKENARIO'!$H$2:$I$42,2,FALSE)</f>
        <v>Affinia</v>
      </c>
      <c r="I194" s="92" t="str">
        <f>VLOOKUP(H194,'MAPPING MD &amp; SKENARIO'!$I$2:$J$42,2,FALSE)</f>
        <v>affinia.by@muf.co.id</v>
      </c>
      <c r="J194" s="121">
        <f>VLOOKUP(D194,'MAPPING MD &amp; SKENARIO'!B:D,3,FALSE)</f>
        <v>0.65</v>
      </c>
      <c r="K194" s="121">
        <f t="shared" si="7"/>
        <v>0.32500000000000001</v>
      </c>
      <c r="L194" s="121">
        <v>1</v>
      </c>
      <c r="M194" s="127">
        <f t="shared" si="5"/>
        <v>2</v>
      </c>
      <c r="R194" s="118"/>
    </row>
    <row r="195" spans="1:18" ht="72">
      <c r="A195" s="80">
        <v>214</v>
      </c>
      <c r="B195" s="120" t="s">
        <v>528</v>
      </c>
      <c r="C195" s="158" t="s">
        <v>172</v>
      </c>
      <c r="D195" s="92" t="s">
        <v>6</v>
      </c>
      <c r="E195" s="92" t="s">
        <v>276</v>
      </c>
      <c r="F195" s="92" t="s">
        <v>277</v>
      </c>
      <c r="G195" s="92" t="s">
        <v>278</v>
      </c>
      <c r="H195" s="120" t="str">
        <f>VLOOKUP(LEFT(B195,FIND("-",B195)-1),'MAPPING MD &amp; SKENARIO'!$H$2:$I$42,2,FALSE)</f>
        <v>Kevin</v>
      </c>
      <c r="I195" s="92" t="str">
        <f>VLOOKUP(H195,'MAPPING MD &amp; SKENARIO'!$I$2:$J$42,2,FALSE)</f>
        <v>kevin.hardianus@muf.co.id</v>
      </c>
      <c r="J195" s="121">
        <f>VLOOKUP(D195,'MAPPING MD &amp; SKENARIO'!B:D,3,FALSE)</f>
        <v>1.3</v>
      </c>
      <c r="K195" s="121">
        <f t="shared" si="7"/>
        <v>0.65</v>
      </c>
      <c r="L195" s="121">
        <v>1</v>
      </c>
      <c r="M195" s="127">
        <f t="shared" si="5"/>
        <v>3</v>
      </c>
      <c r="R195" s="118"/>
    </row>
    <row r="196" spans="1:18" ht="43.2">
      <c r="A196" s="80">
        <v>215</v>
      </c>
      <c r="B196" s="120" t="s">
        <v>529</v>
      </c>
      <c r="C196" s="158"/>
      <c r="D196" s="92" t="s">
        <v>10</v>
      </c>
      <c r="E196" s="92" t="s">
        <v>284</v>
      </c>
      <c r="F196" s="92" t="s">
        <v>285</v>
      </c>
      <c r="G196" s="92" t="s">
        <v>286</v>
      </c>
      <c r="H196" s="120" t="str">
        <f>VLOOKUP(LEFT(B196,FIND("-",B196)-1),'MAPPING MD &amp; SKENARIO'!$H$2:$I$42,2,FALSE)</f>
        <v>Kevin</v>
      </c>
      <c r="I196" s="92" t="str">
        <f>VLOOKUP(H196,'MAPPING MD &amp; SKENARIO'!$I$2:$J$42,2,FALSE)</f>
        <v>kevin.hardianus@muf.co.id</v>
      </c>
      <c r="J196" s="121">
        <f>VLOOKUP(D196,'MAPPING MD &amp; SKENARIO'!B:D,3,FALSE)</f>
        <v>0.26</v>
      </c>
      <c r="K196" s="121">
        <f t="shared" si="7"/>
        <v>0.13</v>
      </c>
      <c r="L196" s="121">
        <v>1</v>
      </c>
      <c r="M196" s="127">
        <f t="shared" si="5"/>
        <v>2</v>
      </c>
      <c r="R196" s="118"/>
    </row>
    <row r="197" spans="1:18" ht="115.2">
      <c r="A197" s="80">
        <v>216</v>
      </c>
      <c r="B197" s="120" t="s">
        <v>530</v>
      </c>
      <c r="C197" s="158"/>
      <c r="D197" s="92" t="s">
        <v>12</v>
      </c>
      <c r="E197" s="92" t="s">
        <v>288</v>
      </c>
      <c r="F197" s="92" t="s">
        <v>328</v>
      </c>
      <c r="G197" s="92" t="s">
        <v>290</v>
      </c>
      <c r="H197" s="120" t="str">
        <f>VLOOKUP(LEFT(B197,FIND("-",B197)-1),'MAPPING MD &amp; SKENARIO'!$H$2:$I$42,2,FALSE)</f>
        <v>Kevin</v>
      </c>
      <c r="I197" s="92" t="str">
        <f>VLOOKUP(H197,'MAPPING MD &amp; SKENARIO'!$I$2:$J$42,2,FALSE)</f>
        <v>kevin.hardianus@muf.co.id</v>
      </c>
      <c r="J197" s="121">
        <f>VLOOKUP(D197,'MAPPING MD &amp; SKENARIO'!B:D,3,FALSE)</f>
        <v>1.3</v>
      </c>
      <c r="K197" s="121">
        <f t="shared" si="7"/>
        <v>0.65</v>
      </c>
      <c r="L197" s="121">
        <v>1</v>
      </c>
      <c r="M197" s="127">
        <f t="shared" ref="M197:M260" si="8">ROUNDUP(SUM(J197:L197),0)</f>
        <v>3</v>
      </c>
      <c r="R197" s="118"/>
    </row>
    <row r="198" spans="1:18" ht="158.4">
      <c r="A198" s="80">
        <v>217</v>
      </c>
      <c r="B198" s="120" t="s">
        <v>531</v>
      </c>
      <c r="C198" s="158"/>
      <c r="D198" s="92" t="s">
        <v>14</v>
      </c>
      <c r="E198" s="92" t="s">
        <v>292</v>
      </c>
      <c r="F198" s="92" t="s">
        <v>293</v>
      </c>
      <c r="G198" s="92" t="s">
        <v>294</v>
      </c>
      <c r="H198" s="120" t="str">
        <f>VLOOKUP(LEFT(B198,FIND("-",B198)-1),'MAPPING MD &amp; SKENARIO'!$H$2:$I$42,2,FALSE)</f>
        <v>Kevin</v>
      </c>
      <c r="I198" s="92" t="str">
        <f>VLOOKUP(H198,'MAPPING MD &amp; SKENARIO'!$I$2:$J$42,2,FALSE)</f>
        <v>kevin.hardianus@muf.co.id</v>
      </c>
      <c r="J198" s="121">
        <f>VLOOKUP(D198,'MAPPING MD &amp; SKENARIO'!B:D,3,FALSE)</f>
        <v>2.6</v>
      </c>
      <c r="K198" s="121">
        <f t="shared" si="7"/>
        <v>1.3</v>
      </c>
      <c r="L198" s="121">
        <v>1</v>
      </c>
      <c r="M198" s="127">
        <f t="shared" si="8"/>
        <v>5</v>
      </c>
      <c r="R198" s="118"/>
    </row>
    <row r="199" spans="1:18" ht="144">
      <c r="A199" s="80">
        <v>218</v>
      </c>
      <c r="B199" s="120" t="s">
        <v>532</v>
      </c>
      <c r="C199" s="158"/>
      <c r="D199" s="92" t="s">
        <v>20</v>
      </c>
      <c r="E199" s="92" t="s">
        <v>463</v>
      </c>
      <c r="F199" s="92" t="s">
        <v>333</v>
      </c>
      <c r="G199" s="92" t="s">
        <v>334</v>
      </c>
      <c r="H199" s="120" t="str">
        <f>VLOOKUP(LEFT(B199,FIND("-",B199)-1),'MAPPING MD &amp; SKENARIO'!$H$2:$I$42,2,FALSE)</f>
        <v>Kevin</v>
      </c>
      <c r="I199" s="92" t="str">
        <f>VLOOKUP(H199,'MAPPING MD &amp; SKENARIO'!$I$2:$J$42,2,FALSE)</f>
        <v>kevin.hardianus@muf.co.id</v>
      </c>
      <c r="J199" s="121">
        <f>VLOOKUP(D199,'MAPPING MD &amp; SKENARIO'!B:D,3,FALSE)</f>
        <v>1.3</v>
      </c>
      <c r="K199" s="121">
        <f t="shared" si="7"/>
        <v>0.65</v>
      </c>
      <c r="L199" s="121">
        <v>1</v>
      </c>
      <c r="M199" s="127">
        <f t="shared" si="8"/>
        <v>3</v>
      </c>
      <c r="R199" s="118"/>
    </row>
    <row r="200" spans="1:18" ht="100.8">
      <c r="A200" s="80">
        <v>219</v>
      </c>
      <c r="B200" s="120" t="s">
        <v>533</v>
      </c>
      <c r="C200" s="158"/>
      <c r="D200" s="92" t="s">
        <v>22</v>
      </c>
      <c r="E200" s="92" t="s">
        <v>379</v>
      </c>
      <c r="F200" s="92" t="s">
        <v>450</v>
      </c>
      <c r="G200" s="92" t="s">
        <v>534</v>
      </c>
      <c r="H200" s="120" t="str">
        <f>VLOOKUP(LEFT(B200,FIND("-",B200)-1),'MAPPING MD &amp; SKENARIO'!$H$2:$I$42,2,FALSE)</f>
        <v>Kevin</v>
      </c>
      <c r="I200" s="92" t="str">
        <f>VLOOKUP(H200,'MAPPING MD &amp; SKENARIO'!$I$2:$J$42,2,FALSE)</f>
        <v>kevin.hardianus@muf.co.id</v>
      </c>
      <c r="J200" s="121">
        <f>VLOOKUP(D200,'MAPPING MD &amp; SKENARIO'!B:D,3,FALSE)</f>
        <v>1.3</v>
      </c>
      <c r="K200" s="121">
        <f t="shared" si="7"/>
        <v>0.65</v>
      </c>
      <c r="L200" s="121">
        <v>1</v>
      </c>
      <c r="M200" s="127">
        <f t="shared" si="8"/>
        <v>3</v>
      </c>
      <c r="R200" s="118"/>
    </row>
    <row r="201" spans="1:18" ht="57.6">
      <c r="A201" s="80">
        <v>220</v>
      </c>
      <c r="B201" s="120" t="s">
        <v>535</v>
      </c>
      <c r="C201" s="158"/>
      <c r="D201" s="92" t="s">
        <v>24</v>
      </c>
      <c r="E201" s="92" t="s">
        <v>304</v>
      </c>
      <c r="F201" s="92" t="s">
        <v>305</v>
      </c>
      <c r="G201" s="92" t="s">
        <v>306</v>
      </c>
      <c r="H201" s="120" t="str">
        <f>VLOOKUP(LEFT(B201,FIND("-",B201)-1),'MAPPING MD &amp; SKENARIO'!$H$2:$I$42,2,FALSE)</f>
        <v>Kevin</v>
      </c>
      <c r="I201" s="92" t="str">
        <f>VLOOKUP(H201,'MAPPING MD &amp; SKENARIO'!$I$2:$J$42,2,FALSE)</f>
        <v>kevin.hardianus@muf.co.id</v>
      </c>
      <c r="J201" s="121">
        <f>VLOOKUP(D201,'MAPPING MD &amp; SKENARIO'!B:D,3,FALSE)</f>
        <v>0.65</v>
      </c>
      <c r="K201" s="121">
        <f t="shared" si="7"/>
        <v>0.32500000000000001</v>
      </c>
      <c r="L201" s="121">
        <v>1</v>
      </c>
      <c r="M201" s="127">
        <f t="shared" si="8"/>
        <v>2</v>
      </c>
      <c r="R201" s="118"/>
    </row>
    <row r="202" spans="1:18" ht="86.4">
      <c r="A202" s="80">
        <v>221</v>
      </c>
      <c r="B202" s="120" t="s">
        <v>536</v>
      </c>
      <c r="C202" s="158"/>
      <c r="D202" s="92" t="s">
        <v>26</v>
      </c>
      <c r="E202" s="92" t="s">
        <v>308</v>
      </c>
      <c r="F202" s="92" t="s">
        <v>309</v>
      </c>
      <c r="G202" s="92" t="s">
        <v>310</v>
      </c>
      <c r="H202" s="120" t="str">
        <f>VLOOKUP(LEFT(B202,FIND("-",B202)-1),'MAPPING MD &amp; SKENARIO'!$H$2:$I$42,2,FALSE)</f>
        <v>Kevin</v>
      </c>
      <c r="I202" s="92" t="str">
        <f>VLOOKUP(H202,'MAPPING MD &amp; SKENARIO'!$I$2:$J$42,2,FALSE)</f>
        <v>kevin.hardianus@muf.co.id</v>
      </c>
      <c r="J202" s="121">
        <f>VLOOKUP(D202,'MAPPING MD &amp; SKENARIO'!B:D,3,FALSE)</f>
        <v>2.6</v>
      </c>
      <c r="K202" s="121">
        <f t="shared" si="7"/>
        <v>1.3</v>
      </c>
      <c r="L202" s="121">
        <v>1</v>
      </c>
      <c r="M202" s="127">
        <f t="shared" si="8"/>
        <v>5</v>
      </c>
      <c r="R202" s="118"/>
    </row>
    <row r="203" spans="1:18" ht="100.8">
      <c r="A203" s="80">
        <v>222</v>
      </c>
      <c r="B203" s="120" t="s">
        <v>537</v>
      </c>
      <c r="C203" s="158"/>
      <c r="D203" s="92" t="s">
        <v>28</v>
      </c>
      <c r="E203" s="92" t="s">
        <v>312</v>
      </c>
      <c r="F203" s="92" t="s">
        <v>313</v>
      </c>
      <c r="G203" s="92" t="s">
        <v>314</v>
      </c>
      <c r="H203" s="120" t="str">
        <f>VLOOKUP(LEFT(B203,FIND("-",B203)-1),'MAPPING MD &amp; SKENARIO'!$H$2:$I$42,2,FALSE)</f>
        <v>Kevin</v>
      </c>
      <c r="I203" s="92" t="str">
        <f>VLOOKUP(H203,'MAPPING MD &amp; SKENARIO'!$I$2:$J$42,2,FALSE)</f>
        <v>kevin.hardianus@muf.co.id</v>
      </c>
      <c r="J203" s="121">
        <f>VLOOKUP(D203,'MAPPING MD &amp; SKENARIO'!B:D,3,FALSE)</f>
        <v>1.95</v>
      </c>
      <c r="K203" s="121">
        <f t="shared" si="7"/>
        <v>0.97499999999999998</v>
      </c>
      <c r="L203" s="121">
        <v>1</v>
      </c>
      <c r="M203" s="127">
        <f t="shared" si="8"/>
        <v>4</v>
      </c>
      <c r="R203" s="118"/>
    </row>
    <row r="204" spans="1:18" ht="28.8">
      <c r="A204" s="80">
        <v>223</v>
      </c>
      <c r="B204" s="120" t="s">
        <v>538</v>
      </c>
      <c r="C204" s="158"/>
      <c r="D204" s="92" t="s">
        <v>30</v>
      </c>
      <c r="E204" s="92" t="s">
        <v>316</v>
      </c>
      <c r="F204" s="92" t="s">
        <v>317</v>
      </c>
      <c r="G204" s="92" t="s">
        <v>318</v>
      </c>
      <c r="H204" s="120" t="str">
        <f>VLOOKUP(LEFT(B204,FIND("-",B204)-1),'MAPPING MD &amp; SKENARIO'!$H$2:$I$42,2,FALSE)</f>
        <v>Kevin</v>
      </c>
      <c r="I204" s="92" t="str">
        <f>VLOOKUP(H204,'MAPPING MD &amp; SKENARIO'!$I$2:$J$42,2,FALSE)</f>
        <v>kevin.hardianus@muf.co.id</v>
      </c>
      <c r="J204" s="121">
        <f>VLOOKUP(D204,'MAPPING MD &amp; SKENARIO'!B:D,3,FALSE)</f>
        <v>0.65</v>
      </c>
      <c r="K204" s="121">
        <f t="shared" si="7"/>
        <v>0.32500000000000001</v>
      </c>
      <c r="L204" s="121">
        <v>1</v>
      </c>
      <c r="M204" s="127">
        <f t="shared" si="8"/>
        <v>2</v>
      </c>
      <c r="R204" s="118"/>
    </row>
    <row r="205" spans="1:18" ht="43.2">
      <c r="A205" s="80">
        <v>224</v>
      </c>
      <c r="B205" s="120" t="s">
        <v>539</v>
      </c>
      <c r="C205" s="158"/>
      <c r="D205" s="92" t="s">
        <v>32</v>
      </c>
      <c r="E205" s="92" t="s">
        <v>320</v>
      </c>
      <c r="F205" s="92" t="s">
        <v>321</v>
      </c>
      <c r="G205" s="92" t="s">
        <v>322</v>
      </c>
      <c r="H205" s="120" t="str">
        <f>VLOOKUP(LEFT(B205,FIND("-",B205)-1),'MAPPING MD &amp; SKENARIO'!$H$2:$I$42,2,FALSE)</f>
        <v>Kevin</v>
      </c>
      <c r="I205" s="92" t="str">
        <f>VLOOKUP(H205,'MAPPING MD &amp; SKENARIO'!$I$2:$J$42,2,FALSE)</f>
        <v>kevin.hardianus@muf.co.id</v>
      </c>
      <c r="J205" s="121">
        <f>VLOOKUP(D205,'MAPPING MD &amp; SKENARIO'!B:D,3,FALSE)</f>
        <v>0.65</v>
      </c>
      <c r="K205" s="121">
        <f t="shared" si="7"/>
        <v>0.32500000000000001</v>
      </c>
      <c r="L205" s="121">
        <v>1</v>
      </c>
      <c r="M205" s="127">
        <f t="shared" si="8"/>
        <v>2</v>
      </c>
      <c r="R205" s="118"/>
    </row>
    <row r="206" spans="1:18" ht="72">
      <c r="A206" s="80">
        <v>225</v>
      </c>
      <c r="B206" s="120" t="s">
        <v>540</v>
      </c>
      <c r="C206" s="158" t="s">
        <v>173</v>
      </c>
      <c r="D206" s="92" t="s">
        <v>6</v>
      </c>
      <c r="E206" s="92" t="s">
        <v>276</v>
      </c>
      <c r="F206" s="92" t="s">
        <v>277</v>
      </c>
      <c r="G206" s="92" t="s">
        <v>278</v>
      </c>
      <c r="H206" s="120" t="str">
        <f>VLOOKUP(LEFT(B206,FIND("-",B206)-1),'MAPPING MD &amp; SKENARIO'!$H$2:$I$42,2,FALSE)</f>
        <v>Rasya</v>
      </c>
      <c r="I206" s="92" t="str">
        <f>VLOOKUP(H206,'MAPPING MD &amp; SKENARIO'!$I$2:$J$42,2,FALSE)</f>
        <v>rasya.raharjo@muf.co.id</v>
      </c>
      <c r="J206" s="121">
        <f>VLOOKUP(D206,'MAPPING MD &amp; SKENARIO'!B:D,3,FALSE)</f>
        <v>1.3</v>
      </c>
      <c r="K206" s="121">
        <f t="shared" si="7"/>
        <v>0.65</v>
      </c>
      <c r="L206" s="121">
        <v>1</v>
      </c>
      <c r="M206" s="127">
        <f t="shared" si="8"/>
        <v>3</v>
      </c>
      <c r="R206" s="118"/>
    </row>
    <row r="207" spans="1:18" ht="43.2">
      <c r="A207" s="80">
        <v>226</v>
      </c>
      <c r="B207" s="120" t="s">
        <v>541</v>
      </c>
      <c r="C207" s="158"/>
      <c r="D207" s="92" t="s">
        <v>10</v>
      </c>
      <c r="E207" s="92" t="s">
        <v>284</v>
      </c>
      <c r="F207" s="92" t="s">
        <v>285</v>
      </c>
      <c r="G207" s="92" t="s">
        <v>286</v>
      </c>
      <c r="H207" s="120" t="str">
        <f>VLOOKUP(LEFT(B207,FIND("-",B207)-1),'MAPPING MD &amp; SKENARIO'!$H$2:$I$42,2,FALSE)</f>
        <v>Rasya</v>
      </c>
      <c r="I207" s="92" t="str">
        <f>VLOOKUP(H207,'MAPPING MD &amp; SKENARIO'!$I$2:$J$42,2,FALSE)</f>
        <v>rasya.raharjo@muf.co.id</v>
      </c>
      <c r="J207" s="121">
        <f>VLOOKUP(D207,'MAPPING MD &amp; SKENARIO'!B:D,3,FALSE)</f>
        <v>0.26</v>
      </c>
      <c r="K207" s="121">
        <f t="shared" si="7"/>
        <v>0.13</v>
      </c>
      <c r="L207" s="121">
        <v>1</v>
      </c>
      <c r="M207" s="127">
        <f t="shared" si="8"/>
        <v>2</v>
      </c>
      <c r="R207" s="118"/>
    </row>
    <row r="208" spans="1:18" ht="115.2">
      <c r="A208" s="80">
        <v>227</v>
      </c>
      <c r="B208" s="120" t="s">
        <v>542</v>
      </c>
      <c r="C208" s="158"/>
      <c r="D208" s="92" t="s">
        <v>12</v>
      </c>
      <c r="E208" s="92" t="s">
        <v>327</v>
      </c>
      <c r="F208" s="92" t="s">
        <v>391</v>
      </c>
      <c r="G208" s="92" t="s">
        <v>290</v>
      </c>
      <c r="H208" s="120" t="str">
        <f>VLOOKUP(LEFT(B208,FIND("-",B208)-1),'MAPPING MD &amp; SKENARIO'!$H$2:$I$42,2,FALSE)</f>
        <v>Rasya</v>
      </c>
      <c r="I208" s="92" t="str">
        <f>VLOOKUP(H208,'MAPPING MD &amp; SKENARIO'!$I$2:$J$42,2,FALSE)</f>
        <v>rasya.raharjo@muf.co.id</v>
      </c>
      <c r="J208" s="121">
        <f>VLOOKUP(D208,'MAPPING MD &amp; SKENARIO'!B:D,3,FALSE)</f>
        <v>1.3</v>
      </c>
      <c r="K208" s="121">
        <f t="shared" si="7"/>
        <v>0.65</v>
      </c>
      <c r="L208" s="121">
        <v>1</v>
      </c>
      <c r="M208" s="127">
        <f t="shared" si="8"/>
        <v>3</v>
      </c>
      <c r="R208" s="118"/>
    </row>
    <row r="209" spans="1:18" ht="158.4">
      <c r="A209" s="80">
        <v>228</v>
      </c>
      <c r="B209" s="120" t="s">
        <v>543</v>
      </c>
      <c r="C209" s="158"/>
      <c r="D209" s="92" t="s">
        <v>14</v>
      </c>
      <c r="E209" s="92" t="s">
        <v>330</v>
      </c>
      <c r="F209" s="92" t="s">
        <v>293</v>
      </c>
      <c r="G209" s="92" t="s">
        <v>294</v>
      </c>
      <c r="H209" s="120" t="str">
        <f>VLOOKUP(LEFT(B209,FIND("-",B209)-1),'MAPPING MD &amp; SKENARIO'!$H$2:$I$42,2,FALSE)</f>
        <v>Rasya</v>
      </c>
      <c r="I209" s="92" t="str">
        <f>VLOOKUP(H209,'MAPPING MD &amp; SKENARIO'!$I$2:$J$42,2,FALSE)</f>
        <v>rasya.raharjo@muf.co.id</v>
      </c>
      <c r="J209" s="121">
        <f>VLOOKUP(D209,'MAPPING MD &amp; SKENARIO'!B:D,3,FALSE)</f>
        <v>2.6</v>
      </c>
      <c r="K209" s="121">
        <f t="shared" si="7"/>
        <v>1.3</v>
      </c>
      <c r="L209" s="121">
        <v>1</v>
      </c>
      <c r="M209" s="127">
        <f t="shared" si="8"/>
        <v>5</v>
      </c>
      <c r="R209" s="118"/>
    </row>
    <row r="210" spans="1:18" ht="144">
      <c r="A210" s="80">
        <v>229</v>
      </c>
      <c r="B210" s="120" t="s">
        <v>544</v>
      </c>
      <c r="C210" s="158"/>
      <c r="D210" s="92" t="s">
        <v>16</v>
      </c>
      <c r="E210" s="92" t="s">
        <v>394</v>
      </c>
      <c r="F210" s="92" t="s">
        <v>395</v>
      </c>
      <c r="G210" s="92" t="s">
        <v>298</v>
      </c>
      <c r="H210" s="120" t="str">
        <f>VLOOKUP(LEFT(B210,FIND("-",B210)-1),'MAPPING MD &amp; SKENARIO'!$H$2:$I$42,2,FALSE)</f>
        <v>Rasya</v>
      </c>
      <c r="I210" s="92" t="str">
        <f>VLOOKUP(H210,'MAPPING MD &amp; SKENARIO'!$I$2:$J$42,2,FALSE)</f>
        <v>rasya.raharjo@muf.co.id</v>
      </c>
      <c r="J210" s="121">
        <f>VLOOKUP(D210,'MAPPING MD &amp; SKENARIO'!B:D,3,FALSE)</f>
        <v>1.3</v>
      </c>
      <c r="K210" s="121">
        <f t="shared" ref="K210:K261" si="9">J210*50%</f>
        <v>0.65</v>
      </c>
      <c r="L210" s="121">
        <v>1</v>
      </c>
      <c r="M210" s="127">
        <f t="shared" si="8"/>
        <v>3</v>
      </c>
      <c r="R210" s="118"/>
    </row>
    <row r="211" spans="1:18" ht="72">
      <c r="A211" s="80">
        <v>230</v>
      </c>
      <c r="B211" s="120" t="s">
        <v>545</v>
      </c>
      <c r="C211" s="158"/>
      <c r="D211" s="92" t="s">
        <v>18</v>
      </c>
      <c r="E211" s="92" t="s">
        <v>344</v>
      </c>
      <c r="F211" s="92" t="s">
        <v>301</v>
      </c>
      <c r="G211" s="92" t="s">
        <v>302</v>
      </c>
      <c r="H211" s="120" t="str">
        <f>VLOOKUP(LEFT(B211,FIND("-",B211)-1),'MAPPING MD &amp; SKENARIO'!$H$2:$I$42,2,FALSE)</f>
        <v>Rasya</v>
      </c>
      <c r="I211" s="92" t="str">
        <f>VLOOKUP(H211,'MAPPING MD &amp; SKENARIO'!$I$2:$J$42,2,FALSE)</f>
        <v>rasya.raharjo@muf.co.id</v>
      </c>
      <c r="J211" s="121">
        <f>VLOOKUP(D211,'MAPPING MD &amp; SKENARIO'!B:D,3,FALSE)</f>
        <v>2.6</v>
      </c>
      <c r="K211" s="121">
        <f t="shared" si="9"/>
        <v>1.3</v>
      </c>
      <c r="L211" s="121">
        <v>1</v>
      </c>
      <c r="M211" s="127">
        <f t="shared" si="8"/>
        <v>5</v>
      </c>
      <c r="R211" s="118"/>
    </row>
    <row r="212" spans="1:18" ht="57.6">
      <c r="A212" s="80">
        <v>231</v>
      </c>
      <c r="B212" s="120" t="s">
        <v>546</v>
      </c>
      <c r="C212" s="158"/>
      <c r="D212" s="92" t="s">
        <v>24</v>
      </c>
      <c r="E212" s="92" t="s">
        <v>304</v>
      </c>
      <c r="F212" s="92" t="s">
        <v>305</v>
      </c>
      <c r="G212" s="92" t="s">
        <v>306</v>
      </c>
      <c r="H212" s="120" t="str">
        <f>VLOOKUP(LEFT(B212,FIND("-",B212)-1),'MAPPING MD &amp; SKENARIO'!$H$2:$I$42,2,FALSE)</f>
        <v>Rasya</v>
      </c>
      <c r="I212" s="92" t="str">
        <f>VLOOKUP(H212,'MAPPING MD &amp; SKENARIO'!$I$2:$J$42,2,FALSE)</f>
        <v>rasya.raharjo@muf.co.id</v>
      </c>
      <c r="J212" s="121">
        <f>VLOOKUP(D212,'MAPPING MD &amp; SKENARIO'!B:D,3,FALSE)</f>
        <v>0.65</v>
      </c>
      <c r="K212" s="121">
        <f t="shared" si="9"/>
        <v>0.32500000000000001</v>
      </c>
      <c r="L212" s="121">
        <v>1</v>
      </c>
      <c r="M212" s="127">
        <f t="shared" si="8"/>
        <v>2</v>
      </c>
      <c r="R212" s="118"/>
    </row>
    <row r="213" spans="1:18" ht="86.4">
      <c r="A213" s="80">
        <v>232</v>
      </c>
      <c r="B213" s="120" t="s">
        <v>547</v>
      </c>
      <c r="C213" s="158"/>
      <c r="D213" s="92" t="s">
        <v>26</v>
      </c>
      <c r="E213" s="92" t="s">
        <v>308</v>
      </c>
      <c r="F213" s="92" t="s">
        <v>309</v>
      </c>
      <c r="G213" s="92" t="s">
        <v>310</v>
      </c>
      <c r="H213" s="120" t="str">
        <f>VLOOKUP(LEFT(B213,FIND("-",B213)-1),'MAPPING MD &amp; SKENARIO'!$H$2:$I$42,2,FALSE)</f>
        <v>Rasya</v>
      </c>
      <c r="I213" s="92" t="str">
        <f>VLOOKUP(H213,'MAPPING MD &amp; SKENARIO'!$I$2:$J$42,2,FALSE)</f>
        <v>rasya.raharjo@muf.co.id</v>
      </c>
      <c r="J213" s="121">
        <f>VLOOKUP(D213,'MAPPING MD &amp; SKENARIO'!B:D,3,FALSE)</f>
        <v>2.6</v>
      </c>
      <c r="K213" s="121">
        <f t="shared" si="9"/>
        <v>1.3</v>
      </c>
      <c r="L213" s="121">
        <v>1</v>
      </c>
      <c r="M213" s="127">
        <f t="shared" si="8"/>
        <v>5</v>
      </c>
      <c r="R213" s="118"/>
    </row>
    <row r="214" spans="1:18" ht="100.8">
      <c r="A214" s="80">
        <v>233</v>
      </c>
      <c r="B214" s="120" t="s">
        <v>548</v>
      </c>
      <c r="C214" s="158"/>
      <c r="D214" s="92" t="s">
        <v>28</v>
      </c>
      <c r="E214" s="92" t="s">
        <v>312</v>
      </c>
      <c r="F214" s="92" t="s">
        <v>313</v>
      </c>
      <c r="G214" s="92" t="s">
        <v>314</v>
      </c>
      <c r="H214" s="120" t="str">
        <f>VLOOKUP(LEFT(B214,FIND("-",B214)-1),'MAPPING MD &amp; SKENARIO'!$H$2:$I$42,2,FALSE)</f>
        <v>Rasya</v>
      </c>
      <c r="I214" s="92" t="str">
        <f>VLOOKUP(H214,'MAPPING MD &amp; SKENARIO'!$I$2:$J$42,2,FALSE)</f>
        <v>rasya.raharjo@muf.co.id</v>
      </c>
      <c r="J214" s="121">
        <f>VLOOKUP(D214,'MAPPING MD &amp; SKENARIO'!B:D,3,FALSE)</f>
        <v>1.95</v>
      </c>
      <c r="K214" s="121">
        <f t="shared" si="9"/>
        <v>0.97499999999999998</v>
      </c>
      <c r="L214" s="121">
        <v>1</v>
      </c>
      <c r="M214" s="127">
        <f t="shared" si="8"/>
        <v>4</v>
      </c>
      <c r="R214" s="118"/>
    </row>
    <row r="215" spans="1:18" ht="28.8">
      <c r="A215" s="80">
        <v>234</v>
      </c>
      <c r="B215" s="120" t="s">
        <v>549</v>
      </c>
      <c r="C215" s="158"/>
      <c r="D215" s="92" t="s">
        <v>30</v>
      </c>
      <c r="E215" s="92" t="s">
        <v>316</v>
      </c>
      <c r="F215" s="92" t="s">
        <v>317</v>
      </c>
      <c r="G215" s="92" t="s">
        <v>318</v>
      </c>
      <c r="H215" s="120" t="str">
        <f>VLOOKUP(LEFT(B215,FIND("-",B215)-1),'MAPPING MD &amp; SKENARIO'!$H$2:$I$42,2,FALSE)</f>
        <v>Rasya</v>
      </c>
      <c r="I215" s="92" t="str">
        <f>VLOOKUP(H215,'MAPPING MD &amp; SKENARIO'!$I$2:$J$42,2,FALSE)</f>
        <v>rasya.raharjo@muf.co.id</v>
      </c>
      <c r="J215" s="121">
        <f>VLOOKUP(D215,'MAPPING MD &amp; SKENARIO'!B:D,3,FALSE)</f>
        <v>0.65</v>
      </c>
      <c r="K215" s="121">
        <f t="shared" si="9"/>
        <v>0.32500000000000001</v>
      </c>
      <c r="L215" s="121">
        <v>1</v>
      </c>
      <c r="M215" s="127">
        <f t="shared" si="8"/>
        <v>2</v>
      </c>
      <c r="R215" s="118"/>
    </row>
    <row r="216" spans="1:18" ht="43.2">
      <c r="A216" s="80">
        <v>235</v>
      </c>
      <c r="B216" s="120" t="s">
        <v>550</v>
      </c>
      <c r="C216" s="158"/>
      <c r="D216" s="92" t="s">
        <v>32</v>
      </c>
      <c r="E216" s="92" t="s">
        <v>320</v>
      </c>
      <c r="F216" s="92" t="s">
        <v>321</v>
      </c>
      <c r="G216" s="92" t="s">
        <v>322</v>
      </c>
      <c r="H216" s="120" t="str">
        <f>VLOOKUP(LEFT(B216,FIND("-",B216)-1),'MAPPING MD &amp; SKENARIO'!$H$2:$I$42,2,FALSE)</f>
        <v>Rasya</v>
      </c>
      <c r="I216" s="92" t="str">
        <f>VLOOKUP(H216,'MAPPING MD &amp; SKENARIO'!$I$2:$J$42,2,FALSE)</f>
        <v>rasya.raharjo@muf.co.id</v>
      </c>
      <c r="J216" s="121">
        <f>VLOOKUP(D216,'MAPPING MD &amp; SKENARIO'!B:D,3,FALSE)</f>
        <v>0.65</v>
      </c>
      <c r="K216" s="121">
        <f t="shared" si="9"/>
        <v>0.32500000000000001</v>
      </c>
      <c r="L216" s="121">
        <v>1</v>
      </c>
      <c r="M216" s="127">
        <f t="shared" si="8"/>
        <v>2</v>
      </c>
      <c r="R216" s="118"/>
    </row>
    <row r="217" spans="1:18" ht="72">
      <c r="A217" s="80">
        <v>236</v>
      </c>
      <c r="B217" s="120" t="s">
        <v>551</v>
      </c>
      <c r="C217" s="158" t="s">
        <v>174</v>
      </c>
      <c r="D217" s="92" t="s">
        <v>6</v>
      </c>
      <c r="E217" s="92" t="s">
        <v>276</v>
      </c>
      <c r="F217" s="92" t="s">
        <v>277</v>
      </c>
      <c r="G217" s="92" t="s">
        <v>278</v>
      </c>
      <c r="H217" s="120" t="str">
        <f>VLOOKUP(LEFT(B217,FIND("-",B217)-1),'MAPPING MD &amp; SKENARIO'!$H$2:$I$42,2,FALSE)</f>
        <v>Azhar</v>
      </c>
      <c r="I217" s="92" t="str">
        <f>VLOOKUP(H217,'MAPPING MD &amp; SKENARIO'!$I$2:$J$42,2,FALSE)</f>
        <v>azhar.azhar@muf.co.id</v>
      </c>
      <c r="J217" s="121">
        <f>VLOOKUP(D217,'MAPPING MD &amp; SKENARIO'!B:D,3,FALSE)</f>
        <v>1.3</v>
      </c>
      <c r="K217" s="121">
        <f t="shared" si="9"/>
        <v>0.65</v>
      </c>
      <c r="L217" s="121">
        <v>1</v>
      </c>
      <c r="M217" s="127">
        <f t="shared" si="8"/>
        <v>3</v>
      </c>
      <c r="R217" s="118"/>
    </row>
    <row r="218" spans="1:18" ht="43.2">
      <c r="A218" s="80">
        <v>237</v>
      </c>
      <c r="B218" s="120" t="s">
        <v>552</v>
      </c>
      <c r="C218" s="158"/>
      <c r="D218" s="92" t="s">
        <v>10</v>
      </c>
      <c r="E218" s="92" t="s">
        <v>284</v>
      </c>
      <c r="F218" s="92" t="s">
        <v>285</v>
      </c>
      <c r="G218" s="92" t="s">
        <v>286</v>
      </c>
      <c r="H218" s="120" t="str">
        <f>VLOOKUP(LEFT(B218,FIND("-",B218)-1),'MAPPING MD &amp; SKENARIO'!$H$2:$I$42,2,FALSE)</f>
        <v>Azhar</v>
      </c>
      <c r="I218" s="92" t="str">
        <f>VLOOKUP(H218,'MAPPING MD &amp; SKENARIO'!$I$2:$J$42,2,FALSE)</f>
        <v>azhar.azhar@muf.co.id</v>
      </c>
      <c r="J218" s="121">
        <f>VLOOKUP(D218,'MAPPING MD &amp; SKENARIO'!B:D,3,FALSE)</f>
        <v>0.26</v>
      </c>
      <c r="K218" s="121">
        <f t="shared" si="9"/>
        <v>0.13</v>
      </c>
      <c r="L218" s="121">
        <v>1</v>
      </c>
      <c r="M218" s="127">
        <f t="shared" si="8"/>
        <v>2</v>
      </c>
      <c r="R218" s="118"/>
    </row>
    <row r="219" spans="1:18" ht="115.2">
      <c r="A219" s="80">
        <v>238</v>
      </c>
      <c r="B219" s="120" t="s">
        <v>553</v>
      </c>
      <c r="C219" s="158"/>
      <c r="D219" s="92" t="s">
        <v>12</v>
      </c>
      <c r="E219" s="92" t="s">
        <v>327</v>
      </c>
      <c r="F219" s="92" t="s">
        <v>391</v>
      </c>
      <c r="G219" s="92" t="s">
        <v>290</v>
      </c>
      <c r="H219" s="120" t="str">
        <f>VLOOKUP(LEFT(B219,FIND("-",B219)-1),'MAPPING MD &amp; SKENARIO'!$H$2:$I$42,2,FALSE)</f>
        <v>Azhar</v>
      </c>
      <c r="I219" s="92" t="str">
        <f>VLOOKUP(H219,'MAPPING MD &amp; SKENARIO'!$I$2:$J$42,2,FALSE)</f>
        <v>azhar.azhar@muf.co.id</v>
      </c>
      <c r="J219" s="121">
        <f>VLOOKUP(D219,'MAPPING MD &amp; SKENARIO'!B:D,3,FALSE)</f>
        <v>1.3</v>
      </c>
      <c r="K219" s="121">
        <f t="shared" si="9"/>
        <v>0.65</v>
      </c>
      <c r="L219" s="121">
        <v>1</v>
      </c>
      <c r="M219" s="127">
        <f t="shared" si="8"/>
        <v>3</v>
      </c>
      <c r="R219" s="118"/>
    </row>
    <row r="220" spans="1:18" ht="158.4">
      <c r="A220" s="80">
        <v>239</v>
      </c>
      <c r="B220" s="120" t="s">
        <v>554</v>
      </c>
      <c r="C220" s="158"/>
      <c r="D220" s="92" t="s">
        <v>14</v>
      </c>
      <c r="E220" s="92" t="s">
        <v>330</v>
      </c>
      <c r="F220" s="92" t="s">
        <v>293</v>
      </c>
      <c r="G220" s="92" t="s">
        <v>294</v>
      </c>
      <c r="H220" s="120" t="str">
        <f>VLOOKUP(LEFT(B220,FIND("-",B220)-1),'MAPPING MD &amp; SKENARIO'!$H$2:$I$42,2,FALSE)</f>
        <v>Azhar</v>
      </c>
      <c r="I220" s="92" t="str">
        <f>VLOOKUP(H220,'MAPPING MD &amp; SKENARIO'!$I$2:$J$42,2,FALSE)</f>
        <v>azhar.azhar@muf.co.id</v>
      </c>
      <c r="J220" s="121">
        <f>VLOOKUP(D220,'MAPPING MD &amp; SKENARIO'!B:D,3,FALSE)</f>
        <v>2.6</v>
      </c>
      <c r="K220" s="121">
        <f t="shared" si="9"/>
        <v>1.3</v>
      </c>
      <c r="L220" s="121">
        <v>1</v>
      </c>
      <c r="M220" s="127">
        <f t="shared" si="8"/>
        <v>5</v>
      </c>
      <c r="R220" s="118"/>
    </row>
    <row r="221" spans="1:18" ht="144">
      <c r="A221" s="80">
        <v>240</v>
      </c>
      <c r="B221" s="120" t="s">
        <v>555</v>
      </c>
      <c r="C221" s="158"/>
      <c r="D221" s="92" t="s">
        <v>20</v>
      </c>
      <c r="E221" s="92" t="s">
        <v>463</v>
      </c>
      <c r="F221" s="92" t="s">
        <v>333</v>
      </c>
      <c r="G221" s="92" t="s">
        <v>334</v>
      </c>
      <c r="H221" s="120" t="str">
        <f>VLOOKUP(LEFT(B221,FIND("-",B221)-1),'MAPPING MD &amp; SKENARIO'!$H$2:$I$42,2,FALSE)</f>
        <v>Azhar</v>
      </c>
      <c r="I221" s="92" t="str">
        <f>VLOOKUP(H221,'MAPPING MD &amp; SKENARIO'!$I$2:$J$42,2,FALSE)</f>
        <v>azhar.azhar@muf.co.id</v>
      </c>
      <c r="J221" s="121">
        <f>VLOOKUP(D221,'MAPPING MD &amp; SKENARIO'!B:D,3,FALSE)</f>
        <v>1.3</v>
      </c>
      <c r="K221" s="121">
        <f t="shared" si="9"/>
        <v>0.65</v>
      </c>
      <c r="L221" s="121">
        <v>1</v>
      </c>
      <c r="M221" s="127">
        <f t="shared" si="8"/>
        <v>3</v>
      </c>
      <c r="R221" s="118"/>
    </row>
    <row r="222" spans="1:18" ht="100.8">
      <c r="A222" s="80">
        <v>241</v>
      </c>
      <c r="B222" s="120" t="s">
        <v>556</v>
      </c>
      <c r="C222" s="158"/>
      <c r="D222" s="92" t="s">
        <v>22</v>
      </c>
      <c r="E222" s="92" t="s">
        <v>379</v>
      </c>
      <c r="F222" s="92" t="s">
        <v>450</v>
      </c>
      <c r="G222" s="92" t="s">
        <v>534</v>
      </c>
      <c r="H222" s="120" t="str">
        <f>VLOOKUP(LEFT(B222,FIND("-",B222)-1),'MAPPING MD &amp; SKENARIO'!$H$2:$I$42,2,FALSE)</f>
        <v>Azhar</v>
      </c>
      <c r="I222" s="92" t="str">
        <f>VLOOKUP(H222,'MAPPING MD &amp; SKENARIO'!$I$2:$J$42,2,FALSE)</f>
        <v>azhar.azhar@muf.co.id</v>
      </c>
      <c r="J222" s="121">
        <f>VLOOKUP(D222,'MAPPING MD &amp; SKENARIO'!B:D,3,FALSE)</f>
        <v>1.3</v>
      </c>
      <c r="K222" s="121">
        <f t="shared" si="9"/>
        <v>0.65</v>
      </c>
      <c r="L222" s="121">
        <v>1</v>
      </c>
      <c r="M222" s="127">
        <f t="shared" si="8"/>
        <v>3</v>
      </c>
      <c r="R222" s="118"/>
    </row>
    <row r="223" spans="1:18" ht="57.6">
      <c r="A223" s="80">
        <v>242</v>
      </c>
      <c r="B223" s="120" t="s">
        <v>557</v>
      </c>
      <c r="C223" s="158"/>
      <c r="D223" s="92" t="s">
        <v>24</v>
      </c>
      <c r="E223" s="92" t="s">
        <v>304</v>
      </c>
      <c r="F223" s="92" t="s">
        <v>305</v>
      </c>
      <c r="G223" s="92" t="s">
        <v>306</v>
      </c>
      <c r="H223" s="120" t="str">
        <f>VLOOKUP(LEFT(B223,FIND("-",B223)-1),'MAPPING MD &amp; SKENARIO'!$H$2:$I$42,2,FALSE)</f>
        <v>Azhar</v>
      </c>
      <c r="I223" s="92" t="str">
        <f>VLOOKUP(H223,'MAPPING MD &amp; SKENARIO'!$I$2:$J$42,2,FALSE)</f>
        <v>azhar.azhar@muf.co.id</v>
      </c>
      <c r="J223" s="121">
        <f>VLOOKUP(D223,'MAPPING MD &amp; SKENARIO'!B:D,3,FALSE)</f>
        <v>0.65</v>
      </c>
      <c r="K223" s="121">
        <f t="shared" si="9"/>
        <v>0.32500000000000001</v>
      </c>
      <c r="L223" s="121">
        <v>1</v>
      </c>
      <c r="M223" s="127">
        <f t="shared" si="8"/>
        <v>2</v>
      </c>
      <c r="R223" s="118"/>
    </row>
    <row r="224" spans="1:18" ht="86.4">
      <c r="A224" s="80">
        <v>243</v>
      </c>
      <c r="B224" s="120" t="s">
        <v>558</v>
      </c>
      <c r="C224" s="158"/>
      <c r="D224" s="92" t="s">
        <v>26</v>
      </c>
      <c r="E224" s="92" t="s">
        <v>308</v>
      </c>
      <c r="F224" s="92" t="s">
        <v>309</v>
      </c>
      <c r="G224" s="92" t="s">
        <v>310</v>
      </c>
      <c r="H224" s="120" t="str">
        <f>VLOOKUP(LEFT(B224,FIND("-",B224)-1),'MAPPING MD &amp; SKENARIO'!$H$2:$I$42,2,FALSE)</f>
        <v>Azhar</v>
      </c>
      <c r="I224" s="92" t="str">
        <f>VLOOKUP(H224,'MAPPING MD &amp; SKENARIO'!$I$2:$J$42,2,FALSE)</f>
        <v>azhar.azhar@muf.co.id</v>
      </c>
      <c r="J224" s="121">
        <f>VLOOKUP(D224,'MAPPING MD &amp; SKENARIO'!B:D,3,FALSE)</f>
        <v>2.6</v>
      </c>
      <c r="K224" s="121">
        <f t="shared" si="9"/>
        <v>1.3</v>
      </c>
      <c r="L224" s="121">
        <v>1</v>
      </c>
      <c r="M224" s="127">
        <f t="shared" si="8"/>
        <v>5</v>
      </c>
      <c r="R224" s="118"/>
    </row>
    <row r="225" spans="1:18" ht="57.6">
      <c r="A225" s="80">
        <v>244</v>
      </c>
      <c r="B225" s="120" t="s">
        <v>559</v>
      </c>
      <c r="C225" s="158"/>
      <c r="D225" s="92" t="s">
        <v>28</v>
      </c>
      <c r="E225" s="92" t="s">
        <v>568</v>
      </c>
      <c r="F225" s="92" t="s">
        <v>569</v>
      </c>
      <c r="G225" s="92" t="s">
        <v>570</v>
      </c>
      <c r="H225" s="120" t="str">
        <f>VLOOKUP(LEFT(B225,FIND("-",B225)-1),'MAPPING MD &amp; SKENARIO'!$H$2:$I$42,2,FALSE)</f>
        <v>Azhar</v>
      </c>
      <c r="I225" s="92" t="str">
        <f>VLOOKUP(H225,'MAPPING MD &amp; SKENARIO'!$I$2:$J$42,2,FALSE)</f>
        <v>azhar.azhar@muf.co.id</v>
      </c>
      <c r="J225" s="121">
        <f>VLOOKUP(D225,'MAPPING MD &amp; SKENARIO'!B:D,3,FALSE)</f>
        <v>1.95</v>
      </c>
      <c r="K225" s="121">
        <f t="shared" si="9"/>
        <v>0.97499999999999998</v>
      </c>
      <c r="L225" s="121">
        <v>1</v>
      </c>
      <c r="M225" s="127">
        <f t="shared" si="8"/>
        <v>4</v>
      </c>
      <c r="R225" s="118"/>
    </row>
    <row r="226" spans="1:18" ht="46.5" customHeight="1">
      <c r="A226" s="80">
        <v>245</v>
      </c>
      <c r="B226" s="120" t="s">
        <v>560</v>
      </c>
      <c r="C226" s="158"/>
      <c r="D226" s="92" t="s">
        <v>36</v>
      </c>
      <c r="E226" s="92" t="s">
        <v>415</v>
      </c>
      <c r="F226" s="92" t="s">
        <v>416</v>
      </c>
      <c r="G226" s="92" t="s">
        <v>417</v>
      </c>
      <c r="H226" s="120" t="str">
        <f>VLOOKUP(LEFT(B226,FIND("-",B226)-1),'MAPPING MD &amp; SKENARIO'!$H$2:$I$42,2,FALSE)</f>
        <v>Azhar</v>
      </c>
      <c r="I226" s="92" t="str">
        <f>VLOOKUP(H226,'MAPPING MD &amp; SKENARIO'!$I$2:$J$42,2,FALSE)</f>
        <v>azhar.azhar@muf.co.id</v>
      </c>
      <c r="J226" s="121">
        <f>VLOOKUP(D226,'MAPPING MD &amp; SKENARIO'!B:D,3,FALSE)</f>
        <v>0.65</v>
      </c>
      <c r="K226" s="121">
        <f t="shared" si="9"/>
        <v>0.32500000000000001</v>
      </c>
      <c r="L226" s="121">
        <v>1</v>
      </c>
      <c r="M226" s="127">
        <f t="shared" si="8"/>
        <v>2</v>
      </c>
      <c r="R226" s="118"/>
    </row>
    <row r="227" spans="1:18" ht="43.2">
      <c r="A227" s="80">
        <v>246</v>
      </c>
      <c r="B227" s="120" t="s">
        <v>561</v>
      </c>
      <c r="C227" s="158"/>
      <c r="D227" s="92" t="s">
        <v>38</v>
      </c>
      <c r="E227" s="92" t="s">
        <v>518</v>
      </c>
      <c r="F227" s="92" t="s">
        <v>519</v>
      </c>
      <c r="G227" s="92" t="s">
        <v>520</v>
      </c>
      <c r="H227" s="120" t="str">
        <f>VLOOKUP(LEFT(B227,FIND("-",B227)-1),'MAPPING MD &amp; SKENARIO'!$H$2:$I$42,2,FALSE)</f>
        <v>Azhar</v>
      </c>
      <c r="I227" s="92" t="str">
        <f>VLOOKUP(H227,'MAPPING MD &amp; SKENARIO'!$I$2:$J$42,2,FALSE)</f>
        <v>azhar.azhar@muf.co.id</v>
      </c>
      <c r="J227" s="121">
        <f>VLOOKUP(D227,'MAPPING MD &amp; SKENARIO'!B:D,3,FALSE)</f>
        <v>1.95</v>
      </c>
      <c r="K227" s="121">
        <f t="shared" si="9"/>
        <v>0.97499999999999998</v>
      </c>
      <c r="L227" s="121">
        <v>1</v>
      </c>
      <c r="M227" s="127">
        <f t="shared" si="8"/>
        <v>4</v>
      </c>
      <c r="R227" s="118"/>
    </row>
    <row r="228" spans="1:18" ht="72">
      <c r="A228" s="80">
        <v>247</v>
      </c>
      <c r="B228" s="120" t="s">
        <v>1006</v>
      </c>
      <c r="C228" s="158"/>
      <c r="D228" s="92" t="s">
        <v>18</v>
      </c>
      <c r="E228" s="92" t="s">
        <v>344</v>
      </c>
      <c r="F228" s="92" t="s">
        <v>301</v>
      </c>
      <c r="G228" s="92" t="s">
        <v>302</v>
      </c>
      <c r="H228" s="120" t="str">
        <f>VLOOKUP(LEFT(B228,FIND("-",B228)-1),'MAPPING MD &amp; SKENARIO'!$H$2:$I$42,2,FALSE)</f>
        <v>Azhar</v>
      </c>
      <c r="I228" s="92" t="str">
        <f>VLOOKUP(H228,'MAPPING MD &amp; SKENARIO'!$I$2:$J$42,2,FALSE)</f>
        <v>azhar.azhar@muf.co.id</v>
      </c>
      <c r="J228" s="121">
        <f>VLOOKUP(D228,'MAPPING MD &amp; SKENARIO'!B:D,3,FALSE)</f>
        <v>2.6</v>
      </c>
      <c r="K228" s="121">
        <f t="shared" si="9"/>
        <v>1.3</v>
      </c>
      <c r="L228" s="121">
        <v>1</v>
      </c>
      <c r="M228" s="127">
        <f t="shared" si="8"/>
        <v>5</v>
      </c>
      <c r="R228" s="118"/>
    </row>
    <row r="229" spans="1:18" ht="57.6">
      <c r="A229" s="80">
        <v>248</v>
      </c>
      <c r="B229" s="120" t="s">
        <v>1007</v>
      </c>
      <c r="C229" s="158"/>
      <c r="D229" s="92" t="s">
        <v>24</v>
      </c>
      <c r="E229" s="92" t="s">
        <v>304</v>
      </c>
      <c r="F229" s="92" t="s">
        <v>305</v>
      </c>
      <c r="G229" s="92" t="s">
        <v>306</v>
      </c>
      <c r="H229" s="120" t="str">
        <f>VLOOKUP(LEFT(B229,FIND("-",B229)-1),'MAPPING MD &amp; SKENARIO'!$H$2:$I$42,2,FALSE)</f>
        <v>Azhar</v>
      </c>
      <c r="I229" s="92" t="str">
        <f>VLOOKUP(H229,'MAPPING MD &amp; SKENARIO'!$I$2:$J$42,2,FALSE)</f>
        <v>azhar.azhar@muf.co.id</v>
      </c>
      <c r="J229" s="121">
        <f>VLOOKUP(D229,'MAPPING MD &amp; SKENARIO'!B:D,3,FALSE)</f>
        <v>0.65</v>
      </c>
      <c r="K229" s="121">
        <f t="shared" si="9"/>
        <v>0.32500000000000001</v>
      </c>
      <c r="L229" s="121">
        <v>1</v>
      </c>
      <c r="M229" s="127">
        <f t="shared" si="8"/>
        <v>2</v>
      </c>
      <c r="R229" s="118"/>
    </row>
    <row r="230" spans="1:18" ht="86.4">
      <c r="A230" s="80">
        <v>249</v>
      </c>
      <c r="B230" s="120" t="s">
        <v>1008</v>
      </c>
      <c r="C230" s="158"/>
      <c r="D230" s="92" t="s">
        <v>26</v>
      </c>
      <c r="E230" s="92" t="s">
        <v>308</v>
      </c>
      <c r="F230" s="92" t="s">
        <v>309</v>
      </c>
      <c r="G230" s="92" t="s">
        <v>310</v>
      </c>
      <c r="H230" s="120" t="str">
        <f>VLOOKUP(LEFT(B230,FIND("-",B230)-1),'MAPPING MD &amp; SKENARIO'!$H$2:$I$42,2,FALSE)</f>
        <v>Azhar</v>
      </c>
      <c r="I230" s="92" t="str">
        <f>VLOOKUP(H230,'MAPPING MD &amp; SKENARIO'!$I$2:$J$42,2,FALSE)</f>
        <v>azhar.azhar@muf.co.id</v>
      </c>
      <c r="J230" s="121">
        <f>VLOOKUP(D230,'MAPPING MD &amp; SKENARIO'!B:D,3,FALSE)</f>
        <v>2.6</v>
      </c>
      <c r="K230" s="121">
        <f t="shared" si="9"/>
        <v>1.3</v>
      </c>
      <c r="L230" s="121">
        <v>1</v>
      </c>
      <c r="M230" s="127">
        <f t="shared" si="8"/>
        <v>5</v>
      </c>
      <c r="R230" s="118"/>
    </row>
    <row r="231" spans="1:18" ht="100.8">
      <c r="A231" s="80">
        <v>250</v>
      </c>
      <c r="B231" s="120" t="s">
        <v>1009</v>
      </c>
      <c r="C231" s="158"/>
      <c r="D231" s="92" t="s">
        <v>28</v>
      </c>
      <c r="E231" s="92" t="s">
        <v>312</v>
      </c>
      <c r="F231" s="92" t="s">
        <v>313</v>
      </c>
      <c r="G231" s="92" t="s">
        <v>314</v>
      </c>
      <c r="H231" s="120" t="str">
        <f>VLOOKUP(LEFT(B231,FIND("-",B231)-1),'MAPPING MD &amp; SKENARIO'!$H$2:$I$42,2,FALSE)</f>
        <v>Azhar</v>
      </c>
      <c r="I231" s="92" t="str">
        <f>VLOOKUP(H231,'MAPPING MD &amp; SKENARIO'!$I$2:$J$42,2,FALSE)</f>
        <v>azhar.azhar@muf.co.id</v>
      </c>
      <c r="J231" s="121">
        <f>VLOOKUP(D231,'MAPPING MD &amp; SKENARIO'!B:D,3,FALSE)</f>
        <v>1.95</v>
      </c>
      <c r="K231" s="121">
        <f t="shared" si="9"/>
        <v>0.97499999999999998</v>
      </c>
      <c r="L231" s="121">
        <v>1</v>
      </c>
      <c r="M231" s="127">
        <f t="shared" si="8"/>
        <v>4</v>
      </c>
      <c r="R231" s="118"/>
    </row>
    <row r="232" spans="1:18" ht="28.8">
      <c r="A232" s="80">
        <v>251</v>
      </c>
      <c r="B232" s="120" t="s">
        <v>1010</v>
      </c>
      <c r="C232" s="158"/>
      <c r="D232" s="92" t="s">
        <v>30</v>
      </c>
      <c r="E232" s="92" t="s">
        <v>316</v>
      </c>
      <c r="F232" s="92" t="s">
        <v>317</v>
      </c>
      <c r="G232" s="92" t="s">
        <v>318</v>
      </c>
      <c r="H232" s="120" t="str">
        <f>VLOOKUP(LEFT(B232,FIND("-",B232)-1),'MAPPING MD &amp; SKENARIO'!$H$2:$I$42,2,FALSE)</f>
        <v>Azhar</v>
      </c>
      <c r="I232" s="92" t="str">
        <f>VLOOKUP(H232,'MAPPING MD &amp; SKENARIO'!$I$2:$J$42,2,FALSE)</f>
        <v>azhar.azhar@muf.co.id</v>
      </c>
      <c r="J232" s="121">
        <f>VLOOKUP(D232,'MAPPING MD &amp; SKENARIO'!B:D,3,FALSE)</f>
        <v>0.65</v>
      </c>
      <c r="K232" s="121">
        <f t="shared" si="9"/>
        <v>0.32500000000000001</v>
      </c>
      <c r="L232" s="121">
        <v>1</v>
      </c>
      <c r="M232" s="127">
        <f t="shared" si="8"/>
        <v>2</v>
      </c>
      <c r="R232" s="118"/>
    </row>
    <row r="233" spans="1:18" ht="43.2">
      <c r="A233" s="80">
        <v>252</v>
      </c>
      <c r="B233" s="120" t="s">
        <v>1011</v>
      </c>
      <c r="C233" s="158"/>
      <c r="D233" s="92" t="s">
        <v>32</v>
      </c>
      <c r="E233" s="92" t="s">
        <v>320</v>
      </c>
      <c r="F233" s="92" t="s">
        <v>321</v>
      </c>
      <c r="G233" s="92" t="s">
        <v>322</v>
      </c>
      <c r="H233" s="120" t="str">
        <f>VLOOKUP(LEFT(B233,FIND("-",B233)-1),'MAPPING MD &amp; SKENARIO'!$H$2:$I$42,2,FALSE)</f>
        <v>Azhar</v>
      </c>
      <c r="I233" s="92" t="str">
        <f>VLOOKUP(H233,'MAPPING MD &amp; SKENARIO'!$I$2:$J$42,2,FALSE)</f>
        <v>azhar.azhar@muf.co.id</v>
      </c>
      <c r="J233" s="121">
        <f>VLOOKUP(D233,'MAPPING MD &amp; SKENARIO'!B:D,3,FALSE)</f>
        <v>0.65</v>
      </c>
      <c r="K233" s="121">
        <f t="shared" si="9"/>
        <v>0.32500000000000001</v>
      </c>
      <c r="L233" s="121">
        <v>1</v>
      </c>
      <c r="M233" s="127">
        <f t="shared" si="8"/>
        <v>2</v>
      </c>
      <c r="R233" s="118"/>
    </row>
    <row r="234" spans="1:18" ht="72">
      <c r="A234" s="80">
        <v>264</v>
      </c>
      <c r="B234" s="120" t="s">
        <v>562</v>
      </c>
      <c r="C234" s="158" t="s">
        <v>175</v>
      </c>
      <c r="D234" s="92" t="s">
        <v>6</v>
      </c>
      <c r="E234" s="92" t="s">
        <v>276</v>
      </c>
      <c r="F234" s="92" t="s">
        <v>277</v>
      </c>
      <c r="G234" s="92" t="s">
        <v>278</v>
      </c>
      <c r="H234" s="120" t="str">
        <f>VLOOKUP(LEFT(B234,FIND("-",B234)-1),'MAPPING MD &amp; SKENARIO'!$H$2:$I$42,2,FALSE)</f>
        <v>Affinia</v>
      </c>
      <c r="I234" s="92" t="str">
        <f>VLOOKUP(H234,'MAPPING MD &amp; SKENARIO'!$I$2:$J$42,2,FALSE)</f>
        <v>affinia.by@muf.co.id</v>
      </c>
      <c r="J234" s="121">
        <f>VLOOKUP(D234,'MAPPING MD &amp; SKENARIO'!B:D,3,FALSE)</f>
        <v>1.3</v>
      </c>
      <c r="K234" s="121">
        <f t="shared" si="9"/>
        <v>0.65</v>
      </c>
      <c r="L234" s="121">
        <v>1</v>
      </c>
      <c r="M234" s="127">
        <f t="shared" si="8"/>
        <v>3</v>
      </c>
      <c r="R234" s="118"/>
    </row>
    <row r="235" spans="1:18" ht="72">
      <c r="A235" s="80">
        <v>265</v>
      </c>
      <c r="B235" s="120" t="s">
        <v>563</v>
      </c>
      <c r="C235" s="158"/>
      <c r="D235" s="92" t="s">
        <v>8</v>
      </c>
      <c r="E235" s="92" t="s">
        <v>280</v>
      </c>
      <c r="F235" s="92" t="s">
        <v>573</v>
      </c>
      <c r="G235" s="92" t="s">
        <v>574</v>
      </c>
      <c r="H235" s="120" t="str">
        <f>VLOOKUP(LEFT(B235,FIND("-",B235)-1),'MAPPING MD &amp; SKENARIO'!$H$2:$I$42,2,FALSE)</f>
        <v>Affinia</v>
      </c>
      <c r="I235" s="92" t="str">
        <f>VLOOKUP(H235,'MAPPING MD &amp; SKENARIO'!$I$2:$J$42,2,FALSE)</f>
        <v>affinia.by@muf.co.id</v>
      </c>
      <c r="J235" s="121">
        <f>VLOOKUP(D235,'MAPPING MD &amp; SKENARIO'!B:D,3,FALSE)</f>
        <v>1.95</v>
      </c>
      <c r="K235" s="121">
        <f t="shared" si="9"/>
        <v>0.97499999999999998</v>
      </c>
      <c r="L235" s="121">
        <v>1</v>
      </c>
      <c r="M235" s="127">
        <f t="shared" si="8"/>
        <v>4</v>
      </c>
      <c r="R235" s="118"/>
    </row>
    <row r="236" spans="1:18" ht="43.2">
      <c r="A236" s="80">
        <v>266</v>
      </c>
      <c r="B236" s="120" t="s">
        <v>564</v>
      </c>
      <c r="C236" s="158"/>
      <c r="D236" s="92" t="s">
        <v>12</v>
      </c>
      <c r="E236" s="92" t="s">
        <v>576</v>
      </c>
      <c r="F236" s="92" t="s">
        <v>577</v>
      </c>
      <c r="G236" s="92" t="s">
        <v>578</v>
      </c>
      <c r="H236" s="120" t="str">
        <f>VLOOKUP(LEFT(B236,FIND("-",B236)-1),'MAPPING MD &amp; SKENARIO'!$H$2:$I$42,2,FALSE)</f>
        <v>Affinia</v>
      </c>
      <c r="I236" s="92" t="str">
        <f>VLOOKUP(H236,'MAPPING MD &amp; SKENARIO'!$I$2:$J$42,2,FALSE)</f>
        <v>affinia.by@muf.co.id</v>
      </c>
      <c r="J236" s="121">
        <f>VLOOKUP(D236,'MAPPING MD &amp; SKENARIO'!B:D,3,FALSE)</f>
        <v>1.3</v>
      </c>
      <c r="K236" s="121">
        <f t="shared" si="9"/>
        <v>0.65</v>
      </c>
      <c r="L236" s="121">
        <v>1</v>
      </c>
      <c r="M236" s="127">
        <f t="shared" si="8"/>
        <v>3</v>
      </c>
      <c r="R236" s="118"/>
    </row>
    <row r="237" spans="1:18" ht="72">
      <c r="A237" s="80">
        <v>267</v>
      </c>
      <c r="B237" s="120" t="s">
        <v>565</v>
      </c>
      <c r="C237" s="158" t="s">
        <v>176</v>
      </c>
      <c r="D237" s="92" t="s">
        <v>6</v>
      </c>
      <c r="E237" s="92" t="s">
        <v>276</v>
      </c>
      <c r="F237" s="92" t="s">
        <v>277</v>
      </c>
      <c r="G237" s="92" t="s">
        <v>278</v>
      </c>
      <c r="H237" s="120" t="str">
        <f>VLOOKUP(LEFT(B237,FIND("-",B237)-1),'MAPPING MD &amp; SKENARIO'!$H$2:$I$42,2,FALSE)</f>
        <v>Kevin</v>
      </c>
      <c r="I237" s="92" t="str">
        <f>VLOOKUP(H237,'MAPPING MD &amp; SKENARIO'!$I$2:$J$42,2,FALSE)</f>
        <v>kevin.hardianus@muf.co.id</v>
      </c>
      <c r="J237" s="121">
        <f>VLOOKUP(D237,'MAPPING MD &amp; SKENARIO'!B:D,3,FALSE)</f>
        <v>1.3</v>
      </c>
      <c r="K237" s="121">
        <f t="shared" si="9"/>
        <v>0.65</v>
      </c>
      <c r="L237" s="121">
        <v>1</v>
      </c>
      <c r="M237" s="127">
        <f t="shared" si="8"/>
        <v>3</v>
      </c>
      <c r="R237" s="118"/>
    </row>
    <row r="238" spans="1:18" ht="72">
      <c r="A238" s="80">
        <v>268</v>
      </c>
      <c r="B238" s="120" t="s">
        <v>566</v>
      </c>
      <c r="C238" s="158"/>
      <c r="D238" s="92" t="s">
        <v>8</v>
      </c>
      <c r="E238" s="92" t="s">
        <v>280</v>
      </c>
      <c r="F238" s="92" t="s">
        <v>573</v>
      </c>
      <c r="G238" s="92" t="s">
        <v>574</v>
      </c>
      <c r="H238" s="120" t="str">
        <f>VLOOKUP(LEFT(B238,FIND("-",B238)-1),'MAPPING MD &amp; SKENARIO'!$H$2:$I$42,2,FALSE)</f>
        <v>Kevin</v>
      </c>
      <c r="I238" s="92" t="str">
        <f>VLOOKUP(H238,'MAPPING MD &amp; SKENARIO'!$I$2:$J$42,2,FALSE)</f>
        <v>kevin.hardianus@muf.co.id</v>
      </c>
      <c r="J238" s="121">
        <f>VLOOKUP(D238,'MAPPING MD &amp; SKENARIO'!B:D,3,FALSE)</f>
        <v>1.95</v>
      </c>
      <c r="K238" s="121">
        <f t="shared" si="9"/>
        <v>0.97499999999999998</v>
      </c>
      <c r="L238" s="121">
        <v>1</v>
      </c>
      <c r="M238" s="127">
        <f t="shared" si="8"/>
        <v>4</v>
      </c>
      <c r="R238" s="118"/>
    </row>
    <row r="239" spans="1:18" ht="43.2">
      <c r="A239" s="80">
        <v>269</v>
      </c>
      <c r="B239" s="120" t="s">
        <v>567</v>
      </c>
      <c r="C239" s="158"/>
      <c r="D239" s="92" t="s">
        <v>12</v>
      </c>
      <c r="E239" s="92" t="s">
        <v>582</v>
      </c>
      <c r="F239" s="92" t="s">
        <v>583</v>
      </c>
      <c r="G239" s="92" t="s">
        <v>584</v>
      </c>
      <c r="H239" s="120" t="str">
        <f>VLOOKUP(LEFT(B239,FIND("-",B239)-1),'MAPPING MD &amp; SKENARIO'!$H$2:$I$42,2,FALSE)</f>
        <v>Kevin</v>
      </c>
      <c r="I239" s="92" t="str">
        <f>VLOOKUP(H239,'MAPPING MD &amp; SKENARIO'!$I$2:$J$42,2,FALSE)</f>
        <v>kevin.hardianus@muf.co.id</v>
      </c>
      <c r="J239" s="121">
        <f>VLOOKUP(D239,'MAPPING MD &amp; SKENARIO'!B:D,3,FALSE)</f>
        <v>1.3</v>
      </c>
      <c r="K239" s="121">
        <f t="shared" si="9"/>
        <v>0.65</v>
      </c>
      <c r="L239" s="121">
        <v>1</v>
      </c>
      <c r="M239" s="127">
        <f t="shared" si="8"/>
        <v>3</v>
      </c>
      <c r="R239" s="118"/>
    </row>
    <row r="240" spans="1:18" ht="72">
      <c r="A240" s="80">
        <v>270</v>
      </c>
      <c r="B240" s="120" t="s">
        <v>1012</v>
      </c>
      <c r="C240" s="158" t="s">
        <v>177</v>
      </c>
      <c r="D240" s="92" t="s">
        <v>6</v>
      </c>
      <c r="E240" s="92" t="s">
        <v>276</v>
      </c>
      <c r="F240" s="92" t="s">
        <v>277</v>
      </c>
      <c r="G240" s="92" t="s">
        <v>278</v>
      </c>
      <c r="H240" s="120" t="str">
        <f>VLOOKUP(LEFT(B240,FIND("-",B240)-1),'MAPPING MD &amp; SKENARIO'!$H$2:$I$42,2,FALSE)</f>
        <v>Rasya</v>
      </c>
      <c r="I240" s="92" t="str">
        <f>VLOOKUP(H240,'MAPPING MD &amp; SKENARIO'!$I$2:$J$42,2,FALSE)</f>
        <v>rasya.raharjo@muf.co.id</v>
      </c>
      <c r="J240" s="121">
        <f>VLOOKUP(D240,'MAPPING MD &amp; SKENARIO'!B:D,3,FALSE)</f>
        <v>1.3</v>
      </c>
      <c r="K240" s="121">
        <f t="shared" si="9"/>
        <v>0.65</v>
      </c>
      <c r="L240" s="121">
        <v>1</v>
      </c>
      <c r="M240" s="127">
        <f t="shared" si="8"/>
        <v>3</v>
      </c>
      <c r="R240" s="118"/>
    </row>
    <row r="241" spans="1:18" ht="72">
      <c r="A241" s="80">
        <v>271</v>
      </c>
      <c r="B241" s="120" t="s">
        <v>1013</v>
      </c>
      <c r="C241" s="158"/>
      <c r="D241" s="92" t="s">
        <v>8</v>
      </c>
      <c r="E241" s="92" t="s">
        <v>280</v>
      </c>
      <c r="F241" s="92" t="s">
        <v>573</v>
      </c>
      <c r="G241" s="92" t="s">
        <v>574</v>
      </c>
      <c r="H241" s="120" t="str">
        <f>VLOOKUP(LEFT(B241,FIND("-",B241)-1),'MAPPING MD &amp; SKENARIO'!$H$2:$I$42,2,FALSE)</f>
        <v>Rasya</v>
      </c>
      <c r="I241" s="92" t="str">
        <f>VLOOKUP(H241,'MAPPING MD &amp; SKENARIO'!$I$2:$J$42,2,FALSE)</f>
        <v>rasya.raharjo@muf.co.id</v>
      </c>
      <c r="J241" s="121">
        <f>VLOOKUP(D241,'MAPPING MD &amp; SKENARIO'!B:D,3,FALSE)</f>
        <v>1.95</v>
      </c>
      <c r="K241" s="121">
        <f t="shared" si="9"/>
        <v>0.97499999999999998</v>
      </c>
      <c r="L241" s="121">
        <v>1</v>
      </c>
      <c r="M241" s="127">
        <f t="shared" si="8"/>
        <v>4</v>
      </c>
      <c r="R241" s="118"/>
    </row>
    <row r="242" spans="1:18" ht="43.2">
      <c r="A242" s="80">
        <v>272</v>
      </c>
      <c r="B242" s="120" t="s">
        <v>1014</v>
      </c>
      <c r="C242" s="158"/>
      <c r="D242" s="92" t="s">
        <v>12</v>
      </c>
      <c r="E242" s="92" t="s">
        <v>576</v>
      </c>
      <c r="F242" s="92" t="s">
        <v>577</v>
      </c>
      <c r="G242" s="92" t="s">
        <v>578</v>
      </c>
      <c r="H242" s="120" t="str">
        <f>VLOOKUP(LEFT(B242,FIND("-",B242)-1),'MAPPING MD &amp; SKENARIO'!$H$2:$I$42,2,FALSE)</f>
        <v>Rasya</v>
      </c>
      <c r="I242" s="92" t="str">
        <f>VLOOKUP(H242,'MAPPING MD &amp; SKENARIO'!$I$2:$J$42,2,FALSE)</f>
        <v>rasya.raharjo@muf.co.id</v>
      </c>
      <c r="J242" s="121">
        <f>VLOOKUP(D242,'MAPPING MD &amp; SKENARIO'!B:D,3,FALSE)</f>
        <v>1.3</v>
      </c>
      <c r="K242" s="121">
        <f t="shared" si="9"/>
        <v>0.65</v>
      </c>
      <c r="L242" s="121">
        <v>1</v>
      </c>
      <c r="M242" s="127">
        <f t="shared" si="8"/>
        <v>3</v>
      </c>
      <c r="R242" s="118"/>
    </row>
    <row r="243" spans="1:18" ht="72">
      <c r="A243" s="80">
        <v>273</v>
      </c>
      <c r="B243" s="120" t="s">
        <v>571</v>
      </c>
      <c r="C243" s="158" t="s">
        <v>179</v>
      </c>
      <c r="D243" s="92" t="s">
        <v>6</v>
      </c>
      <c r="E243" s="92" t="s">
        <v>276</v>
      </c>
      <c r="F243" s="92" t="s">
        <v>277</v>
      </c>
      <c r="G243" s="92" t="s">
        <v>278</v>
      </c>
      <c r="H243" s="120" t="str">
        <f>VLOOKUP(LEFT(B243,FIND("-",B243)-1),'MAPPING MD &amp; SKENARIO'!$H$2:$I$42,2,FALSE)</f>
        <v>Azhar</v>
      </c>
      <c r="I243" s="92" t="str">
        <f>VLOOKUP(H243,'MAPPING MD &amp; SKENARIO'!$I$2:$J$42,2,FALSE)</f>
        <v>azhar.azhar@muf.co.id</v>
      </c>
      <c r="J243" s="121">
        <f>VLOOKUP(D243,'MAPPING MD &amp; SKENARIO'!B:D,3,FALSE)</f>
        <v>1.3</v>
      </c>
      <c r="K243" s="121">
        <f t="shared" si="9"/>
        <v>0.65</v>
      </c>
      <c r="L243" s="121">
        <v>1</v>
      </c>
      <c r="M243" s="127">
        <f t="shared" si="8"/>
        <v>3</v>
      </c>
      <c r="R243" s="118"/>
    </row>
    <row r="244" spans="1:18" ht="72">
      <c r="A244" s="80">
        <v>274</v>
      </c>
      <c r="B244" s="120" t="s">
        <v>572</v>
      </c>
      <c r="C244" s="158"/>
      <c r="D244" s="92" t="s">
        <v>8</v>
      </c>
      <c r="E244" s="92" t="s">
        <v>280</v>
      </c>
      <c r="F244" s="92" t="s">
        <v>573</v>
      </c>
      <c r="G244" s="92" t="s">
        <v>574</v>
      </c>
      <c r="H244" s="120" t="str">
        <f>VLOOKUP(LEFT(B244,FIND("-",B244)-1),'MAPPING MD &amp; SKENARIO'!$H$2:$I$42,2,FALSE)</f>
        <v>Azhar</v>
      </c>
      <c r="I244" s="92" t="str">
        <f>VLOOKUP(H244,'MAPPING MD &amp; SKENARIO'!$I$2:$J$42,2,FALSE)</f>
        <v>azhar.azhar@muf.co.id</v>
      </c>
      <c r="J244" s="121">
        <f>VLOOKUP(D244,'MAPPING MD &amp; SKENARIO'!B:D,3,FALSE)</f>
        <v>1.95</v>
      </c>
      <c r="K244" s="121">
        <f t="shared" si="9"/>
        <v>0.97499999999999998</v>
      </c>
      <c r="L244" s="121">
        <v>1</v>
      </c>
      <c r="M244" s="127">
        <f t="shared" si="8"/>
        <v>4</v>
      </c>
      <c r="R244" s="118"/>
    </row>
    <row r="245" spans="1:18" ht="43.2">
      <c r="A245" s="80">
        <v>275</v>
      </c>
      <c r="B245" s="120" t="s">
        <v>575</v>
      </c>
      <c r="C245" s="158"/>
      <c r="D245" s="92" t="s">
        <v>12</v>
      </c>
      <c r="E245" s="92" t="s">
        <v>582</v>
      </c>
      <c r="F245" s="92" t="s">
        <v>583</v>
      </c>
      <c r="G245" s="92" t="s">
        <v>584</v>
      </c>
      <c r="H245" s="120" t="str">
        <f>VLOOKUP(LEFT(B245,FIND("-",B245)-1),'MAPPING MD &amp; SKENARIO'!$H$2:$I$42,2,FALSE)</f>
        <v>Azhar</v>
      </c>
      <c r="I245" s="92" t="str">
        <f>VLOOKUP(H245,'MAPPING MD &amp; SKENARIO'!$I$2:$J$42,2,FALSE)</f>
        <v>azhar.azhar@muf.co.id</v>
      </c>
      <c r="J245" s="121">
        <f>VLOOKUP(D245,'MAPPING MD &amp; SKENARIO'!B:D,3,FALSE)</f>
        <v>1.3</v>
      </c>
      <c r="K245" s="121">
        <f t="shared" si="9"/>
        <v>0.65</v>
      </c>
      <c r="L245" s="121">
        <v>1</v>
      </c>
      <c r="M245" s="127">
        <f t="shared" si="8"/>
        <v>3</v>
      </c>
      <c r="R245" s="118"/>
    </row>
    <row r="246" spans="1:18" ht="72">
      <c r="A246" s="80">
        <v>276</v>
      </c>
      <c r="B246" s="120" t="s">
        <v>579</v>
      </c>
      <c r="C246" s="158" t="s">
        <v>180</v>
      </c>
      <c r="D246" s="92" t="s">
        <v>6</v>
      </c>
      <c r="E246" s="92" t="s">
        <v>276</v>
      </c>
      <c r="F246" s="92" t="s">
        <v>277</v>
      </c>
      <c r="G246" s="92" t="s">
        <v>278</v>
      </c>
      <c r="H246" s="120" t="str">
        <f>VLOOKUP(LEFT(B246,FIND("-",B246)-1),'MAPPING MD &amp; SKENARIO'!$H$2:$I$42,2,FALSE)</f>
        <v>Affinia</v>
      </c>
      <c r="I246" s="92" t="str">
        <f>VLOOKUP(H246,'MAPPING MD &amp; SKENARIO'!$I$2:$J$42,2,FALSE)</f>
        <v>affinia.by@muf.co.id</v>
      </c>
      <c r="J246" s="121">
        <f>VLOOKUP(D246,'MAPPING MD &amp; SKENARIO'!B:D,3,FALSE)</f>
        <v>1.3</v>
      </c>
      <c r="K246" s="121">
        <f t="shared" si="9"/>
        <v>0.65</v>
      </c>
      <c r="L246" s="121">
        <v>1</v>
      </c>
      <c r="M246" s="127">
        <f t="shared" si="8"/>
        <v>3</v>
      </c>
      <c r="R246" s="118"/>
    </row>
    <row r="247" spans="1:18" ht="72">
      <c r="A247" s="80">
        <v>277</v>
      </c>
      <c r="B247" s="120" t="s">
        <v>580</v>
      </c>
      <c r="C247" s="158"/>
      <c r="D247" s="92" t="s">
        <v>8</v>
      </c>
      <c r="E247" s="92" t="s">
        <v>280</v>
      </c>
      <c r="F247" s="92" t="s">
        <v>573</v>
      </c>
      <c r="G247" s="92" t="s">
        <v>574</v>
      </c>
      <c r="H247" s="120" t="str">
        <f>VLOOKUP(LEFT(B247,FIND("-",B247)-1),'MAPPING MD &amp; SKENARIO'!$H$2:$I$42,2,FALSE)</f>
        <v>Affinia</v>
      </c>
      <c r="I247" s="92" t="str">
        <f>VLOOKUP(H247,'MAPPING MD &amp; SKENARIO'!$I$2:$J$42,2,FALSE)</f>
        <v>affinia.by@muf.co.id</v>
      </c>
      <c r="J247" s="121">
        <f>VLOOKUP(D247,'MAPPING MD &amp; SKENARIO'!B:D,3,FALSE)</f>
        <v>1.95</v>
      </c>
      <c r="K247" s="121">
        <f t="shared" si="9"/>
        <v>0.97499999999999998</v>
      </c>
      <c r="L247" s="121">
        <v>1</v>
      </c>
      <c r="M247" s="127">
        <f t="shared" si="8"/>
        <v>4</v>
      </c>
      <c r="R247" s="118"/>
    </row>
    <row r="248" spans="1:18" ht="43.2">
      <c r="A248" s="80">
        <v>278</v>
      </c>
      <c r="B248" s="120" t="s">
        <v>581</v>
      </c>
      <c r="C248" s="158"/>
      <c r="D248" s="92" t="s">
        <v>12</v>
      </c>
      <c r="E248" s="92" t="s">
        <v>576</v>
      </c>
      <c r="F248" s="92" t="s">
        <v>577</v>
      </c>
      <c r="G248" s="92" t="s">
        <v>578</v>
      </c>
      <c r="H248" s="120" t="str">
        <f>VLOOKUP(LEFT(B248,FIND("-",B248)-1),'MAPPING MD &amp; SKENARIO'!$H$2:$I$42,2,FALSE)</f>
        <v>Affinia</v>
      </c>
      <c r="I248" s="92" t="str">
        <f>VLOOKUP(H248,'MAPPING MD &amp; SKENARIO'!$I$2:$J$42,2,FALSE)</f>
        <v>affinia.by@muf.co.id</v>
      </c>
      <c r="J248" s="121">
        <f>VLOOKUP(D248,'MAPPING MD &amp; SKENARIO'!B:D,3,FALSE)</f>
        <v>1.3</v>
      </c>
      <c r="K248" s="121">
        <f t="shared" si="9"/>
        <v>0.65</v>
      </c>
      <c r="L248" s="121">
        <v>1</v>
      </c>
      <c r="M248" s="127">
        <f t="shared" si="8"/>
        <v>3</v>
      </c>
      <c r="R248" s="118"/>
    </row>
    <row r="249" spans="1:18" ht="72">
      <c r="A249" s="80">
        <v>279</v>
      </c>
      <c r="B249" s="120" t="s">
        <v>585</v>
      </c>
      <c r="C249" s="158" t="s">
        <v>182</v>
      </c>
      <c r="D249" s="92" t="s">
        <v>6</v>
      </c>
      <c r="E249" s="92" t="s">
        <v>276</v>
      </c>
      <c r="F249" s="92" t="s">
        <v>277</v>
      </c>
      <c r="G249" s="92" t="s">
        <v>278</v>
      </c>
      <c r="H249" s="120" t="str">
        <f>VLOOKUP(LEFT(B249,FIND("-",B249)-1),'MAPPING MD &amp; SKENARIO'!$H$2:$I$42,2,FALSE)</f>
        <v>Kevin</v>
      </c>
      <c r="I249" s="92" t="str">
        <f>VLOOKUP(H249,'MAPPING MD &amp; SKENARIO'!$I$2:$J$42,2,FALSE)</f>
        <v>kevin.hardianus@muf.co.id</v>
      </c>
      <c r="J249" s="121">
        <f>VLOOKUP(D249,'MAPPING MD &amp; SKENARIO'!B:D,3,FALSE)</f>
        <v>1.3</v>
      </c>
      <c r="K249" s="121">
        <f t="shared" si="9"/>
        <v>0.65</v>
      </c>
      <c r="L249" s="121">
        <v>1</v>
      </c>
      <c r="M249" s="127">
        <f t="shared" si="8"/>
        <v>3</v>
      </c>
      <c r="R249" s="118"/>
    </row>
    <row r="250" spans="1:18" ht="72">
      <c r="A250" s="80">
        <v>280</v>
      </c>
      <c r="B250" s="120" t="s">
        <v>586</v>
      </c>
      <c r="C250" s="158"/>
      <c r="D250" s="92" t="s">
        <v>8</v>
      </c>
      <c r="E250" s="92" t="s">
        <v>280</v>
      </c>
      <c r="F250" s="92" t="s">
        <v>573</v>
      </c>
      <c r="G250" s="92" t="s">
        <v>574</v>
      </c>
      <c r="H250" s="120" t="str">
        <f>VLOOKUP(LEFT(B250,FIND("-",B250)-1),'MAPPING MD &amp; SKENARIO'!$H$2:$I$42,2,FALSE)</f>
        <v>Kevin</v>
      </c>
      <c r="I250" s="92" t="str">
        <f>VLOOKUP(H250,'MAPPING MD &amp; SKENARIO'!$I$2:$J$42,2,FALSE)</f>
        <v>kevin.hardianus@muf.co.id</v>
      </c>
      <c r="J250" s="121">
        <f>VLOOKUP(D250,'MAPPING MD &amp; SKENARIO'!B:D,3,FALSE)</f>
        <v>1.95</v>
      </c>
      <c r="K250" s="121">
        <f t="shared" si="9"/>
        <v>0.97499999999999998</v>
      </c>
      <c r="L250" s="121">
        <v>1</v>
      </c>
      <c r="M250" s="127">
        <f t="shared" si="8"/>
        <v>4</v>
      </c>
      <c r="R250" s="118"/>
    </row>
    <row r="251" spans="1:18" ht="43.2">
      <c r="A251" s="80">
        <v>281</v>
      </c>
      <c r="B251" s="120" t="s">
        <v>587</v>
      </c>
      <c r="C251" s="158"/>
      <c r="D251" s="92" t="s">
        <v>12</v>
      </c>
      <c r="E251" s="92" t="s">
        <v>582</v>
      </c>
      <c r="F251" s="92" t="s">
        <v>583</v>
      </c>
      <c r="G251" s="92" t="s">
        <v>584</v>
      </c>
      <c r="H251" s="120" t="str">
        <f>VLOOKUP(LEFT(B251,FIND("-",B251)-1),'MAPPING MD &amp; SKENARIO'!$H$2:$I$42,2,FALSE)</f>
        <v>Kevin</v>
      </c>
      <c r="I251" s="92" t="str">
        <f>VLOOKUP(H251,'MAPPING MD &amp; SKENARIO'!$I$2:$J$42,2,FALSE)</f>
        <v>kevin.hardianus@muf.co.id</v>
      </c>
      <c r="J251" s="121">
        <f>VLOOKUP(D251,'MAPPING MD &amp; SKENARIO'!B:D,3,FALSE)</f>
        <v>1.3</v>
      </c>
      <c r="K251" s="121">
        <f t="shared" si="9"/>
        <v>0.65</v>
      </c>
      <c r="L251" s="121">
        <v>1</v>
      </c>
      <c r="M251" s="127">
        <f t="shared" si="8"/>
        <v>3</v>
      </c>
      <c r="R251" s="118"/>
    </row>
    <row r="252" spans="1:18" ht="72">
      <c r="A252" s="80">
        <v>282</v>
      </c>
      <c r="B252" s="120" t="s">
        <v>588</v>
      </c>
      <c r="C252" s="158" t="s">
        <v>184</v>
      </c>
      <c r="D252" s="92" t="s">
        <v>6</v>
      </c>
      <c r="E252" s="92" t="s">
        <v>276</v>
      </c>
      <c r="F252" s="92" t="s">
        <v>277</v>
      </c>
      <c r="G252" s="92" t="s">
        <v>278</v>
      </c>
      <c r="H252" s="120" t="str">
        <f>VLOOKUP(LEFT(B252,FIND("-",B252)-1),'MAPPING MD &amp; SKENARIO'!$H$2:$I$42,2,FALSE)</f>
        <v>Rasya</v>
      </c>
      <c r="I252" s="92" t="str">
        <f>VLOOKUP(H252,'MAPPING MD &amp; SKENARIO'!$I$2:$J$42,2,FALSE)</f>
        <v>rasya.raharjo@muf.co.id</v>
      </c>
      <c r="J252" s="121">
        <f>VLOOKUP(D252,'MAPPING MD &amp; SKENARIO'!B:D,3,FALSE)</f>
        <v>1.3</v>
      </c>
      <c r="K252" s="121">
        <f t="shared" si="9"/>
        <v>0.65</v>
      </c>
      <c r="L252" s="121">
        <v>1</v>
      </c>
      <c r="M252" s="127">
        <f t="shared" si="8"/>
        <v>3</v>
      </c>
      <c r="R252" s="118"/>
    </row>
    <row r="253" spans="1:18" ht="72">
      <c r="A253" s="80">
        <v>283</v>
      </c>
      <c r="B253" s="120" t="s">
        <v>589</v>
      </c>
      <c r="C253" s="158"/>
      <c r="D253" s="92" t="s">
        <v>8</v>
      </c>
      <c r="E253" s="92" t="s">
        <v>280</v>
      </c>
      <c r="F253" s="92" t="s">
        <v>573</v>
      </c>
      <c r="G253" s="92" t="s">
        <v>574</v>
      </c>
      <c r="H253" s="120" t="str">
        <f>VLOOKUP(LEFT(B253,FIND("-",B253)-1),'MAPPING MD &amp; SKENARIO'!$H$2:$I$42,2,FALSE)</f>
        <v>Rasya</v>
      </c>
      <c r="I253" s="92" t="str">
        <f>VLOOKUP(H253,'MAPPING MD &amp; SKENARIO'!$I$2:$J$42,2,FALSE)</f>
        <v>rasya.raharjo@muf.co.id</v>
      </c>
      <c r="J253" s="121">
        <f>VLOOKUP(D253,'MAPPING MD &amp; SKENARIO'!B:D,3,FALSE)</f>
        <v>1.95</v>
      </c>
      <c r="K253" s="121">
        <f t="shared" si="9"/>
        <v>0.97499999999999998</v>
      </c>
      <c r="L253" s="121">
        <v>1</v>
      </c>
      <c r="M253" s="127">
        <f t="shared" si="8"/>
        <v>4</v>
      </c>
      <c r="R253" s="118"/>
    </row>
    <row r="254" spans="1:18" ht="43.2">
      <c r="A254" s="80">
        <v>284</v>
      </c>
      <c r="B254" s="120" t="s">
        <v>590</v>
      </c>
      <c r="C254" s="158"/>
      <c r="D254" s="92" t="s">
        <v>12</v>
      </c>
      <c r="E254" s="92" t="s">
        <v>576</v>
      </c>
      <c r="F254" s="92" t="s">
        <v>577</v>
      </c>
      <c r="G254" s="92" t="s">
        <v>578</v>
      </c>
      <c r="H254" s="120" t="str">
        <f>VLOOKUP(LEFT(B254,FIND("-",B254)-1),'MAPPING MD &amp; SKENARIO'!$H$2:$I$42,2,FALSE)</f>
        <v>Rasya</v>
      </c>
      <c r="I254" s="92" t="str">
        <f>VLOOKUP(H254,'MAPPING MD &amp; SKENARIO'!$I$2:$J$42,2,FALSE)</f>
        <v>rasya.raharjo@muf.co.id</v>
      </c>
      <c r="J254" s="121">
        <f>VLOOKUP(D254,'MAPPING MD &amp; SKENARIO'!B:D,3,FALSE)</f>
        <v>1.3</v>
      </c>
      <c r="K254" s="121">
        <f t="shared" si="9"/>
        <v>0.65</v>
      </c>
      <c r="L254" s="121">
        <v>1</v>
      </c>
      <c r="M254" s="127">
        <f t="shared" si="8"/>
        <v>3</v>
      </c>
      <c r="R254" s="118"/>
    </row>
    <row r="255" spans="1:18" ht="72">
      <c r="A255" s="80">
        <v>285</v>
      </c>
      <c r="B255" s="120" t="s">
        <v>591</v>
      </c>
      <c r="C255" s="158" t="s">
        <v>185</v>
      </c>
      <c r="D255" s="92" t="s">
        <v>6</v>
      </c>
      <c r="E255" s="92" t="s">
        <v>276</v>
      </c>
      <c r="F255" s="92" t="s">
        <v>277</v>
      </c>
      <c r="G255" s="92" t="s">
        <v>278</v>
      </c>
      <c r="H255" s="120" t="str">
        <f>VLOOKUP(LEFT(B255,FIND("-",B255)-1),'MAPPING MD &amp; SKENARIO'!$H$2:$I$42,2,FALSE)</f>
        <v>Azhar</v>
      </c>
      <c r="I255" s="92" t="str">
        <f>VLOOKUP(H255,'MAPPING MD &amp; SKENARIO'!$I$2:$J$42,2,FALSE)</f>
        <v>azhar.azhar@muf.co.id</v>
      </c>
      <c r="J255" s="121">
        <f>VLOOKUP(D255,'MAPPING MD &amp; SKENARIO'!B:D,3,FALSE)</f>
        <v>1.3</v>
      </c>
      <c r="K255" s="121">
        <f t="shared" si="9"/>
        <v>0.65</v>
      </c>
      <c r="L255" s="121">
        <v>1</v>
      </c>
      <c r="M255" s="127">
        <f t="shared" si="8"/>
        <v>3</v>
      </c>
      <c r="R255" s="118"/>
    </row>
    <row r="256" spans="1:18" ht="57.6">
      <c r="A256" s="80">
        <v>286</v>
      </c>
      <c r="B256" s="120" t="s">
        <v>592</v>
      </c>
      <c r="C256" s="158"/>
      <c r="D256" s="92" t="s">
        <v>12</v>
      </c>
      <c r="E256" s="92" t="s">
        <v>601</v>
      </c>
      <c r="F256" s="92" t="s">
        <v>602</v>
      </c>
      <c r="G256" s="92" t="s">
        <v>603</v>
      </c>
      <c r="H256" s="120" t="str">
        <f>VLOOKUP(LEFT(B256,FIND("-",B256)-1),'MAPPING MD &amp; SKENARIO'!$H$2:$I$42,2,FALSE)</f>
        <v>Azhar</v>
      </c>
      <c r="I256" s="92" t="str">
        <f>VLOOKUP(H256,'MAPPING MD &amp; SKENARIO'!$I$2:$J$42,2,FALSE)</f>
        <v>azhar.azhar@muf.co.id</v>
      </c>
      <c r="J256" s="121">
        <f>VLOOKUP(D256,'MAPPING MD &amp; SKENARIO'!B:D,3,FALSE)</f>
        <v>1.3</v>
      </c>
      <c r="K256" s="121">
        <f t="shared" si="9"/>
        <v>0.65</v>
      </c>
      <c r="L256" s="121">
        <v>1</v>
      </c>
      <c r="M256" s="127">
        <f t="shared" si="8"/>
        <v>3</v>
      </c>
      <c r="R256" s="118"/>
    </row>
    <row r="257" spans="1:18" ht="72">
      <c r="A257" s="80">
        <v>287</v>
      </c>
      <c r="B257" s="120" t="s">
        <v>593</v>
      </c>
      <c r="C257" s="158" t="s">
        <v>186</v>
      </c>
      <c r="D257" s="92" t="s">
        <v>6</v>
      </c>
      <c r="E257" s="92" t="s">
        <v>276</v>
      </c>
      <c r="F257" s="92" t="s">
        <v>277</v>
      </c>
      <c r="G257" s="92" t="s">
        <v>278</v>
      </c>
      <c r="H257" s="120" t="str">
        <f>VLOOKUP(LEFT(B257,FIND("-",B257)-1),'MAPPING MD &amp; SKENARIO'!$H$2:$I$42,2,FALSE)</f>
        <v>Affinia</v>
      </c>
      <c r="I257" s="92" t="str">
        <f>VLOOKUP(H257,'MAPPING MD &amp; SKENARIO'!$I$2:$J$42,2,FALSE)</f>
        <v>affinia.by@muf.co.id</v>
      </c>
      <c r="J257" s="121">
        <f>VLOOKUP(D257,'MAPPING MD &amp; SKENARIO'!B:D,3,FALSE)</f>
        <v>1.3</v>
      </c>
      <c r="K257" s="121">
        <f t="shared" si="9"/>
        <v>0.65</v>
      </c>
      <c r="L257" s="121">
        <v>1</v>
      </c>
      <c r="M257" s="127">
        <f t="shared" si="8"/>
        <v>3</v>
      </c>
      <c r="R257" s="118"/>
    </row>
    <row r="258" spans="1:18" ht="28.8">
      <c r="A258" s="80">
        <v>288</v>
      </c>
      <c r="B258" s="120" t="s">
        <v>594</v>
      </c>
      <c r="C258" s="158"/>
      <c r="D258" s="92" t="s">
        <v>12</v>
      </c>
      <c r="E258" s="92" t="s">
        <v>606</v>
      </c>
      <c r="F258" s="92" t="s">
        <v>607</v>
      </c>
      <c r="G258" s="92" t="s">
        <v>608</v>
      </c>
      <c r="H258" s="120" t="str">
        <f>VLOOKUP(LEFT(B258,FIND("-",B258)-1),'MAPPING MD &amp; SKENARIO'!$H$2:$I$42,2,FALSE)</f>
        <v>Affinia</v>
      </c>
      <c r="I258" s="92" t="str">
        <f>VLOOKUP(H258,'MAPPING MD &amp; SKENARIO'!$I$2:$J$42,2,FALSE)</f>
        <v>affinia.by@muf.co.id</v>
      </c>
      <c r="J258" s="121">
        <f>VLOOKUP(D258,'MAPPING MD &amp; SKENARIO'!B:D,3,FALSE)</f>
        <v>1.3</v>
      </c>
      <c r="K258" s="121">
        <f t="shared" si="9"/>
        <v>0.65</v>
      </c>
      <c r="L258" s="121">
        <v>1</v>
      </c>
      <c r="M258" s="127">
        <f t="shared" si="8"/>
        <v>3</v>
      </c>
      <c r="R258" s="118"/>
    </row>
    <row r="259" spans="1:18" ht="86.4">
      <c r="A259" s="80">
        <v>289</v>
      </c>
      <c r="B259" s="120" t="s">
        <v>595</v>
      </c>
      <c r="C259" s="158"/>
      <c r="D259" s="92" t="s">
        <v>40</v>
      </c>
      <c r="E259" s="92" t="s">
        <v>610</v>
      </c>
      <c r="F259" s="92" t="s">
        <v>611</v>
      </c>
      <c r="G259" s="92" t="s">
        <v>612</v>
      </c>
      <c r="H259" s="120" t="str">
        <f>VLOOKUP(LEFT(B259,FIND("-",B259)-1),'MAPPING MD &amp; SKENARIO'!$H$2:$I$42,2,FALSE)</f>
        <v>Affinia</v>
      </c>
      <c r="I259" s="92" t="str">
        <f>VLOOKUP(H259,'MAPPING MD &amp; SKENARIO'!$I$2:$J$42,2,FALSE)</f>
        <v>affinia.by@muf.co.id</v>
      </c>
      <c r="J259" s="121">
        <f>VLOOKUP(D259,'MAPPING MD &amp; SKENARIO'!B:D,3,FALSE)</f>
        <v>0.39</v>
      </c>
      <c r="K259" s="121">
        <f t="shared" si="9"/>
        <v>0.19500000000000001</v>
      </c>
      <c r="L259" s="121">
        <v>1</v>
      </c>
      <c r="M259" s="127">
        <f t="shared" si="8"/>
        <v>2</v>
      </c>
      <c r="R259" s="118"/>
    </row>
    <row r="260" spans="1:18" ht="72">
      <c r="A260" s="80">
        <v>290</v>
      </c>
      <c r="B260" s="120" t="s">
        <v>596</v>
      </c>
      <c r="C260" s="158" t="s">
        <v>187</v>
      </c>
      <c r="D260" s="92" t="s">
        <v>6</v>
      </c>
      <c r="E260" s="92" t="s">
        <v>276</v>
      </c>
      <c r="F260" s="92" t="s">
        <v>277</v>
      </c>
      <c r="G260" s="92" t="s">
        <v>278</v>
      </c>
      <c r="H260" s="120" t="str">
        <f>VLOOKUP(LEFT(B260,FIND("-",B260)-1),'MAPPING MD &amp; SKENARIO'!$H$2:$I$42,2,FALSE)</f>
        <v>Kevin</v>
      </c>
      <c r="I260" s="92" t="str">
        <f>VLOOKUP(H260,'MAPPING MD &amp; SKENARIO'!$I$2:$J$42,2,FALSE)</f>
        <v>kevin.hardianus@muf.co.id</v>
      </c>
      <c r="J260" s="121">
        <f>VLOOKUP(D260,'MAPPING MD &amp; SKENARIO'!B:D,3,FALSE)</f>
        <v>1.3</v>
      </c>
      <c r="K260" s="121">
        <f t="shared" si="9"/>
        <v>0.65</v>
      </c>
      <c r="L260" s="121">
        <v>1</v>
      </c>
      <c r="M260" s="127">
        <f t="shared" si="8"/>
        <v>3</v>
      </c>
      <c r="R260" s="118"/>
    </row>
    <row r="261" spans="1:18" ht="28.8">
      <c r="A261" s="80">
        <v>291</v>
      </c>
      <c r="B261" s="120" t="s">
        <v>597</v>
      </c>
      <c r="C261" s="158"/>
      <c r="D261" s="92" t="s">
        <v>12</v>
      </c>
      <c r="E261" s="92" t="s">
        <v>606</v>
      </c>
      <c r="F261" s="92" t="s">
        <v>607</v>
      </c>
      <c r="G261" s="92" t="s">
        <v>608</v>
      </c>
      <c r="H261" s="120" t="str">
        <f>VLOOKUP(LEFT(B261,FIND("-",B261)-1),'MAPPING MD &amp; SKENARIO'!$H$2:$I$42,2,FALSE)</f>
        <v>Kevin</v>
      </c>
      <c r="I261" s="92" t="str">
        <f>VLOOKUP(H261,'MAPPING MD &amp; SKENARIO'!$I$2:$J$42,2,FALSE)</f>
        <v>kevin.hardianus@muf.co.id</v>
      </c>
      <c r="J261" s="121">
        <f>VLOOKUP(D261,'MAPPING MD &amp; SKENARIO'!B:D,3,FALSE)</f>
        <v>1.3</v>
      </c>
      <c r="K261" s="121">
        <f t="shared" si="9"/>
        <v>0.65</v>
      </c>
      <c r="L261" s="121">
        <v>1</v>
      </c>
      <c r="M261" s="127">
        <f t="shared" ref="M261:M318" si="10">ROUNDUP(SUM(J261:L261),0)</f>
        <v>3</v>
      </c>
      <c r="R261" s="118"/>
    </row>
    <row r="262" spans="1:18" ht="28.8">
      <c r="A262" s="80">
        <v>292</v>
      </c>
      <c r="B262" s="120" t="s">
        <v>598</v>
      </c>
      <c r="C262" s="158"/>
      <c r="D262" s="92" t="s">
        <v>14</v>
      </c>
      <c r="E262" s="92" t="s">
        <v>616</v>
      </c>
      <c r="F262" s="92" t="s">
        <v>617</v>
      </c>
      <c r="G262" s="92" t="s">
        <v>618</v>
      </c>
      <c r="H262" s="120" t="str">
        <f>VLOOKUP(LEFT(B262,FIND("-",B262)-1),'MAPPING MD &amp; SKENARIO'!$H$2:$I$42,2,FALSE)</f>
        <v>Kevin</v>
      </c>
      <c r="I262" s="92" t="str">
        <f>VLOOKUP(H262,'MAPPING MD &amp; SKENARIO'!$I$2:$J$42,2,FALSE)</f>
        <v>kevin.hardianus@muf.co.id</v>
      </c>
      <c r="J262" s="121">
        <f>VLOOKUP(D262,'MAPPING MD &amp; SKENARIO'!B:D,3,FALSE)</f>
        <v>2.6</v>
      </c>
      <c r="K262" s="121">
        <f t="shared" ref="K262:K295" si="11">J262*50%</f>
        <v>1.3</v>
      </c>
      <c r="L262" s="121">
        <v>1</v>
      </c>
      <c r="M262" s="127">
        <f t="shared" si="10"/>
        <v>5</v>
      </c>
      <c r="R262" s="118"/>
    </row>
    <row r="263" spans="1:18" ht="57.6">
      <c r="A263" s="80">
        <v>293</v>
      </c>
      <c r="B263" s="120" t="s">
        <v>1015</v>
      </c>
      <c r="C263" s="158"/>
      <c r="D263" s="92" t="s">
        <v>20</v>
      </c>
      <c r="E263" s="92" t="s">
        <v>620</v>
      </c>
      <c r="F263" s="92" t="s">
        <v>621</v>
      </c>
      <c r="G263" s="92" t="s">
        <v>622</v>
      </c>
      <c r="H263" s="120" t="str">
        <f>VLOOKUP(LEFT(B263,FIND("-",B263)-1),'MAPPING MD &amp; SKENARIO'!$H$2:$I$42,2,FALSE)</f>
        <v>Kevin</v>
      </c>
      <c r="I263" s="92" t="str">
        <f>VLOOKUP(H263,'MAPPING MD &amp; SKENARIO'!$I$2:$J$42,2,FALSE)</f>
        <v>kevin.hardianus@muf.co.id</v>
      </c>
      <c r="J263" s="121">
        <f>VLOOKUP(D263,'MAPPING MD &amp; SKENARIO'!B:D,3,FALSE)</f>
        <v>1.3</v>
      </c>
      <c r="K263" s="121">
        <f t="shared" si="11"/>
        <v>0.65</v>
      </c>
      <c r="L263" s="121">
        <v>1</v>
      </c>
      <c r="M263" s="127">
        <f t="shared" si="10"/>
        <v>3</v>
      </c>
      <c r="R263" s="118"/>
    </row>
    <row r="264" spans="1:18" ht="72">
      <c r="A264" s="80">
        <v>294</v>
      </c>
      <c r="B264" s="120" t="s">
        <v>599</v>
      </c>
      <c r="C264" s="158" t="s">
        <v>188</v>
      </c>
      <c r="D264" s="92" t="s">
        <v>6</v>
      </c>
      <c r="E264" s="92" t="s">
        <v>276</v>
      </c>
      <c r="F264" s="92" t="s">
        <v>277</v>
      </c>
      <c r="G264" s="92" t="s">
        <v>278</v>
      </c>
      <c r="H264" s="120" t="str">
        <f>VLOOKUP(LEFT(B264,FIND("-",B264)-1),'MAPPING MD &amp; SKENARIO'!$H$2:$I$42,2,FALSE)</f>
        <v>Rasya</v>
      </c>
      <c r="I264" s="92" t="str">
        <f>VLOOKUP(H264,'MAPPING MD &amp; SKENARIO'!$I$2:$J$42,2,FALSE)</f>
        <v>rasya.raharjo@muf.co.id</v>
      </c>
      <c r="J264" s="121">
        <f>VLOOKUP(D264,'MAPPING MD &amp; SKENARIO'!B:D,3,FALSE)</f>
        <v>1.3</v>
      </c>
      <c r="K264" s="121">
        <f t="shared" si="11"/>
        <v>0.65</v>
      </c>
      <c r="L264" s="121">
        <v>1</v>
      </c>
      <c r="M264" s="127">
        <f t="shared" si="10"/>
        <v>3</v>
      </c>
      <c r="R264" s="118"/>
    </row>
    <row r="265" spans="1:18" ht="28.8">
      <c r="A265" s="80">
        <v>295</v>
      </c>
      <c r="B265" s="120" t="s">
        <v>600</v>
      </c>
      <c r="C265" s="158"/>
      <c r="D265" s="92" t="s">
        <v>12</v>
      </c>
      <c r="E265" s="92" t="s">
        <v>606</v>
      </c>
      <c r="F265" s="92" t="s">
        <v>607</v>
      </c>
      <c r="G265" s="92" t="s">
        <v>608</v>
      </c>
      <c r="H265" s="120" t="str">
        <f>VLOOKUP(LEFT(B265,FIND("-",B265)-1),'MAPPING MD &amp; SKENARIO'!$H$2:$I$42,2,FALSE)</f>
        <v>Rasya</v>
      </c>
      <c r="I265" s="92" t="str">
        <f>VLOOKUP(H265,'MAPPING MD &amp; SKENARIO'!$I$2:$J$42,2,FALSE)</f>
        <v>rasya.raharjo@muf.co.id</v>
      </c>
      <c r="J265" s="121">
        <f>VLOOKUP(D265,'MAPPING MD &amp; SKENARIO'!B:D,3,FALSE)</f>
        <v>1.3</v>
      </c>
      <c r="K265" s="121">
        <f t="shared" si="11"/>
        <v>0.65</v>
      </c>
      <c r="L265" s="121">
        <v>1</v>
      </c>
      <c r="M265" s="127">
        <f t="shared" si="10"/>
        <v>3</v>
      </c>
      <c r="R265" s="118"/>
    </row>
    <row r="266" spans="1:18" ht="28.8">
      <c r="A266" s="80">
        <v>296</v>
      </c>
      <c r="B266" s="120" t="s">
        <v>1016</v>
      </c>
      <c r="C266" s="158"/>
      <c r="D266" s="92" t="s">
        <v>14</v>
      </c>
      <c r="E266" s="92" t="s">
        <v>616</v>
      </c>
      <c r="F266" s="92" t="s">
        <v>617</v>
      </c>
      <c r="G266" s="92" t="s">
        <v>626</v>
      </c>
      <c r="H266" s="120" t="str">
        <f>VLOOKUP(LEFT(B266,FIND("-",B266)-1),'MAPPING MD &amp; SKENARIO'!$H$2:$I$42,2,FALSE)</f>
        <v>Rasya</v>
      </c>
      <c r="I266" s="92" t="str">
        <f>VLOOKUP(H266,'MAPPING MD &amp; SKENARIO'!$I$2:$J$42,2,FALSE)</f>
        <v>rasya.raharjo@muf.co.id</v>
      </c>
      <c r="J266" s="121">
        <f>VLOOKUP(D266,'MAPPING MD &amp; SKENARIO'!B:D,3,FALSE)</f>
        <v>2.6</v>
      </c>
      <c r="K266" s="121">
        <f t="shared" si="11"/>
        <v>1.3</v>
      </c>
      <c r="L266" s="121">
        <v>1</v>
      </c>
      <c r="M266" s="127">
        <f t="shared" si="10"/>
        <v>5</v>
      </c>
      <c r="R266" s="118"/>
    </row>
    <row r="267" spans="1:18" ht="57.6">
      <c r="A267" s="80">
        <v>297</v>
      </c>
      <c r="B267" s="120" t="s">
        <v>1017</v>
      </c>
      <c r="C267" s="158"/>
      <c r="D267" s="92" t="s">
        <v>16</v>
      </c>
      <c r="E267" s="92" t="s">
        <v>628</v>
      </c>
      <c r="F267" s="92" t="s">
        <v>629</v>
      </c>
      <c r="G267" s="92" t="s">
        <v>630</v>
      </c>
      <c r="H267" s="120" t="str">
        <f>VLOOKUP(LEFT(B267,FIND("-",B267)-1),'MAPPING MD &amp; SKENARIO'!$H$2:$I$42,2,FALSE)</f>
        <v>Rasya</v>
      </c>
      <c r="I267" s="92" t="str">
        <f>VLOOKUP(H267,'MAPPING MD &amp; SKENARIO'!$I$2:$J$42,2,FALSE)</f>
        <v>rasya.raharjo@muf.co.id</v>
      </c>
      <c r="J267" s="121">
        <f>VLOOKUP(D267,'MAPPING MD &amp; SKENARIO'!B:D,3,FALSE)</f>
        <v>1.3</v>
      </c>
      <c r="K267" s="121">
        <f t="shared" si="11"/>
        <v>0.65</v>
      </c>
      <c r="L267" s="121">
        <v>1</v>
      </c>
      <c r="M267" s="127">
        <f t="shared" si="10"/>
        <v>3</v>
      </c>
      <c r="R267" s="118"/>
    </row>
    <row r="268" spans="1:18" ht="72">
      <c r="A268" s="80">
        <v>298</v>
      </c>
      <c r="B268" s="120" t="s">
        <v>604</v>
      </c>
      <c r="C268" s="158" t="s">
        <v>189</v>
      </c>
      <c r="D268" s="92" t="s">
        <v>6</v>
      </c>
      <c r="E268" s="92" t="s">
        <v>276</v>
      </c>
      <c r="F268" s="92" t="s">
        <v>277</v>
      </c>
      <c r="G268" s="92" t="s">
        <v>278</v>
      </c>
      <c r="H268" s="120" t="str">
        <f>VLOOKUP(LEFT(B268,FIND("-",B268)-1),'MAPPING MD &amp; SKENARIO'!$H$2:$I$42,2,FALSE)</f>
        <v>Azhar</v>
      </c>
      <c r="I268" s="92" t="str">
        <f>VLOOKUP(H268,'MAPPING MD &amp; SKENARIO'!$I$2:$J$42,2,FALSE)</f>
        <v>azhar.azhar@muf.co.id</v>
      </c>
      <c r="J268" s="121">
        <f>VLOOKUP(D268,'MAPPING MD &amp; SKENARIO'!B:D,3,FALSE)</f>
        <v>1.3</v>
      </c>
      <c r="K268" s="121">
        <f t="shared" si="11"/>
        <v>0.65</v>
      </c>
      <c r="L268" s="121">
        <v>1</v>
      </c>
      <c r="M268" s="127">
        <f t="shared" si="10"/>
        <v>3</v>
      </c>
      <c r="R268" s="118"/>
    </row>
    <row r="269" spans="1:18" ht="28.8">
      <c r="A269" s="80">
        <v>299</v>
      </c>
      <c r="B269" s="120" t="s">
        <v>605</v>
      </c>
      <c r="C269" s="158"/>
      <c r="D269" s="92" t="s">
        <v>12</v>
      </c>
      <c r="E269" s="92" t="s">
        <v>606</v>
      </c>
      <c r="F269" s="92" t="s">
        <v>607</v>
      </c>
      <c r="G269" s="92" t="s">
        <v>608</v>
      </c>
      <c r="H269" s="120" t="str">
        <f>VLOOKUP(LEFT(B269,FIND("-",B269)-1),'MAPPING MD &amp; SKENARIO'!$H$2:$I$42,2,FALSE)</f>
        <v>Azhar</v>
      </c>
      <c r="I269" s="92" t="str">
        <f>VLOOKUP(H269,'MAPPING MD &amp; SKENARIO'!$I$2:$J$42,2,FALSE)</f>
        <v>azhar.azhar@muf.co.id</v>
      </c>
      <c r="J269" s="121">
        <f>VLOOKUP(D269,'MAPPING MD &amp; SKENARIO'!B:D,3,FALSE)</f>
        <v>1.3</v>
      </c>
      <c r="K269" s="121">
        <f t="shared" si="11"/>
        <v>0.65</v>
      </c>
      <c r="L269" s="121">
        <v>1</v>
      </c>
      <c r="M269" s="127">
        <f t="shared" si="10"/>
        <v>3</v>
      </c>
      <c r="R269" s="118"/>
    </row>
    <row r="270" spans="1:18" ht="28.8">
      <c r="A270" s="80">
        <v>300</v>
      </c>
      <c r="B270" s="120" t="s">
        <v>609</v>
      </c>
      <c r="C270" s="158"/>
      <c r="D270" s="92" t="s">
        <v>14</v>
      </c>
      <c r="E270" s="92" t="s">
        <v>616</v>
      </c>
      <c r="F270" s="92" t="s">
        <v>617</v>
      </c>
      <c r="G270" s="92" t="s">
        <v>626</v>
      </c>
      <c r="H270" s="120" t="str">
        <f>VLOOKUP(LEFT(B270,FIND("-",B270)-1),'MAPPING MD &amp; SKENARIO'!$H$2:$I$42,2,FALSE)</f>
        <v>Azhar</v>
      </c>
      <c r="I270" s="92" t="str">
        <f>VLOOKUP(H270,'MAPPING MD &amp; SKENARIO'!$I$2:$J$42,2,FALSE)</f>
        <v>azhar.azhar@muf.co.id</v>
      </c>
      <c r="J270" s="121">
        <f>VLOOKUP(D270,'MAPPING MD &amp; SKENARIO'!B:D,3,FALSE)</f>
        <v>2.6</v>
      </c>
      <c r="K270" s="121">
        <f t="shared" si="11"/>
        <v>1.3</v>
      </c>
      <c r="L270" s="121">
        <v>1</v>
      </c>
      <c r="M270" s="127">
        <f t="shared" si="10"/>
        <v>5</v>
      </c>
      <c r="R270" s="118"/>
    </row>
    <row r="271" spans="1:18" ht="28.8">
      <c r="A271" s="80">
        <v>301</v>
      </c>
      <c r="B271" s="120" t="s">
        <v>1018</v>
      </c>
      <c r="C271" s="158"/>
      <c r="D271" s="92" t="s">
        <v>20</v>
      </c>
      <c r="E271" s="92" t="s">
        <v>634</v>
      </c>
      <c r="F271" s="92" t="s">
        <v>635</v>
      </c>
      <c r="G271" s="92" t="s">
        <v>636</v>
      </c>
      <c r="H271" s="120" t="str">
        <f>VLOOKUP(LEFT(B271,FIND("-",B271)-1),'MAPPING MD &amp; SKENARIO'!$H$2:$I$42,2,FALSE)</f>
        <v>Azhar</v>
      </c>
      <c r="I271" s="92" t="str">
        <f>VLOOKUP(H271,'MAPPING MD &amp; SKENARIO'!$I$2:$J$42,2,FALSE)</f>
        <v>azhar.azhar@muf.co.id</v>
      </c>
      <c r="J271" s="121">
        <f>VLOOKUP(D271,'MAPPING MD &amp; SKENARIO'!B:D,3,FALSE)</f>
        <v>1.3</v>
      </c>
      <c r="K271" s="121">
        <f t="shared" si="11"/>
        <v>0.65</v>
      </c>
      <c r="L271" s="121">
        <v>1</v>
      </c>
      <c r="M271" s="127">
        <f t="shared" si="10"/>
        <v>3</v>
      </c>
      <c r="R271" s="118"/>
    </row>
    <row r="272" spans="1:18" ht="57.6">
      <c r="A272" s="80">
        <v>302</v>
      </c>
      <c r="B272" s="120" t="s">
        <v>1019</v>
      </c>
      <c r="C272" s="158"/>
      <c r="D272" s="92" t="s">
        <v>22</v>
      </c>
      <c r="E272" s="92" t="s">
        <v>637</v>
      </c>
      <c r="F272" s="92" t="s">
        <v>638</v>
      </c>
      <c r="G272" s="92" t="s">
        <v>639</v>
      </c>
      <c r="H272" s="120" t="str">
        <f>VLOOKUP(LEFT(B272,FIND("-",B272)-1),'MAPPING MD &amp; SKENARIO'!$H$2:$I$42,2,FALSE)</f>
        <v>Azhar</v>
      </c>
      <c r="I272" s="92" t="str">
        <f>VLOOKUP(H272,'MAPPING MD &amp; SKENARIO'!$I$2:$J$42,2,FALSE)</f>
        <v>azhar.azhar@muf.co.id</v>
      </c>
      <c r="J272" s="121">
        <f>VLOOKUP(D272,'MAPPING MD &amp; SKENARIO'!B:D,3,FALSE)</f>
        <v>1.3</v>
      </c>
      <c r="K272" s="121">
        <f t="shared" si="11"/>
        <v>0.65</v>
      </c>
      <c r="L272" s="121">
        <v>1</v>
      </c>
      <c r="M272" s="127">
        <f t="shared" si="10"/>
        <v>3</v>
      </c>
      <c r="R272" s="118"/>
    </row>
    <row r="273" spans="1:18" ht="72">
      <c r="A273" s="80">
        <v>303</v>
      </c>
      <c r="B273" s="120" t="s">
        <v>613</v>
      </c>
      <c r="C273" s="158" t="s">
        <v>190</v>
      </c>
      <c r="D273" s="92" t="s">
        <v>6</v>
      </c>
      <c r="E273" s="92" t="s">
        <v>276</v>
      </c>
      <c r="F273" s="92" t="s">
        <v>277</v>
      </c>
      <c r="G273" s="92" t="s">
        <v>278</v>
      </c>
      <c r="H273" s="120" t="str">
        <f>VLOOKUP(LEFT(B273,FIND("-",B273)-1),'MAPPING MD &amp; SKENARIO'!$H$2:$I$42,2,FALSE)</f>
        <v>Affinia</v>
      </c>
      <c r="I273" s="92" t="str">
        <f>VLOOKUP(H273,'MAPPING MD &amp; SKENARIO'!$I$2:$J$42,2,FALSE)</f>
        <v>affinia.by@muf.co.id</v>
      </c>
      <c r="J273" s="121">
        <f>VLOOKUP(D273,'MAPPING MD &amp; SKENARIO'!B:D,3,FALSE)</f>
        <v>1.3</v>
      </c>
      <c r="K273" s="121">
        <f t="shared" si="11"/>
        <v>0.65</v>
      </c>
      <c r="L273" s="121">
        <v>1</v>
      </c>
      <c r="M273" s="127">
        <f t="shared" si="10"/>
        <v>3</v>
      </c>
      <c r="R273" s="118"/>
    </row>
    <row r="274" spans="1:18" ht="28.8">
      <c r="A274" s="80">
        <v>304</v>
      </c>
      <c r="B274" s="120" t="s">
        <v>614</v>
      </c>
      <c r="C274" s="158"/>
      <c r="D274" s="92" t="s">
        <v>12</v>
      </c>
      <c r="E274" s="92" t="s">
        <v>606</v>
      </c>
      <c r="F274" s="92" t="s">
        <v>607</v>
      </c>
      <c r="G274" s="92" t="s">
        <v>608</v>
      </c>
      <c r="H274" s="120" t="str">
        <f>VLOOKUP(LEFT(B274,FIND("-",B274)-1),'MAPPING MD &amp; SKENARIO'!$H$2:$I$42,2,FALSE)</f>
        <v>Affinia</v>
      </c>
      <c r="I274" s="92" t="str">
        <f>VLOOKUP(H274,'MAPPING MD &amp; SKENARIO'!$I$2:$J$42,2,FALSE)</f>
        <v>affinia.by@muf.co.id</v>
      </c>
      <c r="J274" s="121">
        <f>VLOOKUP(D274,'MAPPING MD &amp; SKENARIO'!B:D,3,FALSE)</f>
        <v>1.3</v>
      </c>
      <c r="K274" s="121">
        <f t="shared" si="11"/>
        <v>0.65</v>
      </c>
      <c r="L274" s="121">
        <v>1</v>
      </c>
      <c r="M274" s="127">
        <f t="shared" si="10"/>
        <v>3</v>
      </c>
      <c r="R274" s="118"/>
    </row>
    <row r="275" spans="1:18" ht="28.8">
      <c r="A275" s="80">
        <v>305</v>
      </c>
      <c r="B275" s="120" t="s">
        <v>615</v>
      </c>
      <c r="C275" s="158"/>
      <c r="D275" s="92" t="s">
        <v>14</v>
      </c>
      <c r="E275" s="92" t="s">
        <v>616</v>
      </c>
      <c r="F275" s="92" t="s">
        <v>617</v>
      </c>
      <c r="G275" s="92" t="s">
        <v>626</v>
      </c>
      <c r="H275" s="120" t="str">
        <f>VLOOKUP(LEFT(B275,FIND("-",B275)-1),'MAPPING MD &amp; SKENARIO'!$H$2:$I$42,2,FALSE)</f>
        <v>Affinia</v>
      </c>
      <c r="I275" s="92" t="str">
        <f>VLOOKUP(H275,'MAPPING MD &amp; SKENARIO'!$I$2:$J$42,2,FALSE)</f>
        <v>affinia.by@muf.co.id</v>
      </c>
      <c r="J275" s="121">
        <f>VLOOKUP(D275,'MAPPING MD &amp; SKENARIO'!B:D,3,FALSE)</f>
        <v>2.6</v>
      </c>
      <c r="K275" s="121">
        <f t="shared" si="11"/>
        <v>1.3</v>
      </c>
      <c r="L275" s="121">
        <v>1</v>
      </c>
      <c r="M275" s="127">
        <f t="shared" si="10"/>
        <v>5</v>
      </c>
      <c r="R275" s="118"/>
    </row>
    <row r="276" spans="1:18" ht="28.8">
      <c r="A276" s="80">
        <v>306</v>
      </c>
      <c r="B276" s="120" t="s">
        <v>619</v>
      </c>
      <c r="C276" s="158"/>
      <c r="D276" s="92" t="s">
        <v>16</v>
      </c>
      <c r="E276" s="92" t="s">
        <v>644</v>
      </c>
      <c r="F276" s="92" t="s">
        <v>645</v>
      </c>
      <c r="G276" s="92" t="s">
        <v>646</v>
      </c>
      <c r="H276" s="120" t="str">
        <f>VLOOKUP(LEFT(B276,FIND("-",B276)-1),'MAPPING MD &amp; SKENARIO'!$H$2:$I$42,2,FALSE)</f>
        <v>Affinia</v>
      </c>
      <c r="I276" s="92" t="str">
        <f>VLOOKUP(H276,'MAPPING MD &amp; SKENARIO'!$I$2:$J$42,2,FALSE)</f>
        <v>affinia.by@muf.co.id</v>
      </c>
      <c r="J276" s="121">
        <f>VLOOKUP(D276,'MAPPING MD &amp; SKENARIO'!B:D,3,FALSE)</f>
        <v>1.3</v>
      </c>
      <c r="K276" s="121">
        <f t="shared" si="11"/>
        <v>0.65</v>
      </c>
      <c r="L276" s="121">
        <v>1</v>
      </c>
      <c r="M276" s="127">
        <f t="shared" si="10"/>
        <v>3</v>
      </c>
      <c r="R276" s="118"/>
    </row>
    <row r="277" spans="1:18" ht="57.6">
      <c r="A277" s="80">
        <v>307</v>
      </c>
      <c r="B277" s="120" t="s">
        <v>1020</v>
      </c>
      <c r="C277" s="158"/>
      <c r="D277" s="92" t="s">
        <v>18</v>
      </c>
      <c r="E277" s="92" t="s">
        <v>647</v>
      </c>
      <c r="F277" s="92" t="s">
        <v>648</v>
      </c>
      <c r="G277" s="92" t="s">
        <v>649</v>
      </c>
      <c r="H277" s="120" t="str">
        <f>VLOOKUP(LEFT(B277,FIND("-",B277)-1),'MAPPING MD &amp; SKENARIO'!$H$2:$I$42,2,FALSE)</f>
        <v>Affinia</v>
      </c>
      <c r="I277" s="92" t="str">
        <f>VLOOKUP(H277,'MAPPING MD &amp; SKENARIO'!$I$2:$J$42,2,FALSE)</f>
        <v>affinia.by@muf.co.id</v>
      </c>
      <c r="J277" s="121">
        <f>VLOOKUP(D277,'MAPPING MD &amp; SKENARIO'!B:D,3,FALSE)</f>
        <v>2.6</v>
      </c>
      <c r="K277" s="121">
        <f t="shared" si="11"/>
        <v>1.3</v>
      </c>
      <c r="L277" s="121">
        <v>1</v>
      </c>
      <c r="M277" s="127">
        <f t="shared" si="10"/>
        <v>5</v>
      </c>
      <c r="R277" s="118"/>
    </row>
    <row r="278" spans="1:18" ht="72">
      <c r="A278" s="80">
        <v>308</v>
      </c>
      <c r="B278" s="120" t="s">
        <v>623</v>
      </c>
      <c r="C278" s="158" t="s">
        <v>191</v>
      </c>
      <c r="D278" s="92" t="s">
        <v>6</v>
      </c>
      <c r="E278" s="92" t="s">
        <v>276</v>
      </c>
      <c r="F278" s="92" t="s">
        <v>277</v>
      </c>
      <c r="G278" s="92" t="s">
        <v>278</v>
      </c>
      <c r="H278" s="120" t="str">
        <f>VLOOKUP(LEFT(B278,FIND("-",B278)-1),'MAPPING MD &amp; SKENARIO'!$H$2:$I$42,2,FALSE)</f>
        <v>Kevin</v>
      </c>
      <c r="I278" s="92" t="str">
        <f>VLOOKUP(H278,'MAPPING MD &amp; SKENARIO'!$I$2:$J$42,2,FALSE)</f>
        <v>kevin.hardianus@muf.co.id</v>
      </c>
      <c r="J278" s="121">
        <f>VLOOKUP(D278,'MAPPING MD &amp; SKENARIO'!B:D,3,FALSE)</f>
        <v>1.3</v>
      </c>
      <c r="K278" s="121">
        <f t="shared" si="11"/>
        <v>0.65</v>
      </c>
      <c r="L278" s="121">
        <v>1</v>
      </c>
      <c r="M278" s="127">
        <f t="shared" si="10"/>
        <v>3</v>
      </c>
      <c r="R278" s="118"/>
    </row>
    <row r="279" spans="1:18" ht="28.8">
      <c r="A279" s="80">
        <v>309</v>
      </c>
      <c r="B279" s="120" t="s">
        <v>624</v>
      </c>
      <c r="C279" s="158"/>
      <c r="D279" s="92" t="s">
        <v>12</v>
      </c>
      <c r="E279" s="92" t="s">
        <v>606</v>
      </c>
      <c r="F279" s="92" t="s">
        <v>607</v>
      </c>
      <c r="G279" s="92" t="s">
        <v>608</v>
      </c>
      <c r="H279" s="120" t="str">
        <f>VLOOKUP(LEFT(B279,FIND("-",B279)-1),'MAPPING MD &amp; SKENARIO'!$H$2:$I$42,2,FALSE)</f>
        <v>Kevin</v>
      </c>
      <c r="I279" s="92" t="str">
        <f>VLOOKUP(H279,'MAPPING MD &amp; SKENARIO'!$I$2:$J$42,2,FALSE)</f>
        <v>kevin.hardianus@muf.co.id</v>
      </c>
      <c r="J279" s="121">
        <f>VLOOKUP(D279,'MAPPING MD &amp; SKENARIO'!B:D,3,FALSE)</f>
        <v>1.3</v>
      </c>
      <c r="K279" s="121">
        <f t="shared" si="11"/>
        <v>0.65</v>
      </c>
      <c r="L279" s="121">
        <v>1</v>
      </c>
      <c r="M279" s="127">
        <f t="shared" si="10"/>
        <v>3</v>
      </c>
      <c r="R279" s="118"/>
    </row>
    <row r="280" spans="1:18" ht="28.8">
      <c r="A280" s="80">
        <v>310</v>
      </c>
      <c r="B280" s="120" t="s">
        <v>625</v>
      </c>
      <c r="C280" s="158"/>
      <c r="D280" s="92" t="s">
        <v>14</v>
      </c>
      <c r="E280" s="92" t="s">
        <v>616</v>
      </c>
      <c r="F280" s="92" t="s">
        <v>617</v>
      </c>
      <c r="G280" s="92" t="s">
        <v>626</v>
      </c>
      <c r="H280" s="120" t="str">
        <f>VLOOKUP(LEFT(B280,FIND("-",B280)-1),'MAPPING MD &amp; SKENARIO'!$H$2:$I$42,2,FALSE)</f>
        <v>Kevin</v>
      </c>
      <c r="I280" s="92" t="str">
        <f>VLOOKUP(H280,'MAPPING MD &amp; SKENARIO'!$I$2:$J$42,2,FALSE)</f>
        <v>kevin.hardianus@muf.co.id</v>
      </c>
      <c r="J280" s="121">
        <f>VLOOKUP(D280,'MAPPING MD &amp; SKENARIO'!B:D,3,FALSE)</f>
        <v>2.6</v>
      </c>
      <c r="K280" s="121">
        <f t="shared" si="11"/>
        <v>1.3</v>
      </c>
      <c r="L280" s="121">
        <v>1</v>
      </c>
      <c r="M280" s="127">
        <f t="shared" si="10"/>
        <v>5</v>
      </c>
      <c r="R280" s="118"/>
    </row>
    <row r="281" spans="1:18" ht="28.8">
      <c r="A281" s="80">
        <v>311</v>
      </c>
      <c r="B281" s="120" t="s">
        <v>627</v>
      </c>
      <c r="C281" s="158"/>
      <c r="D281" s="92" t="s">
        <v>20</v>
      </c>
      <c r="E281" s="92" t="s">
        <v>634</v>
      </c>
      <c r="F281" s="92" t="s">
        <v>635</v>
      </c>
      <c r="G281" s="92" t="s">
        <v>636</v>
      </c>
      <c r="H281" s="120" t="str">
        <f>VLOOKUP(LEFT(B281,FIND("-",B281)-1),'MAPPING MD &amp; SKENARIO'!$H$2:$I$42,2,FALSE)</f>
        <v>Kevin</v>
      </c>
      <c r="I281" s="92" t="str">
        <f>VLOOKUP(H281,'MAPPING MD &amp; SKENARIO'!$I$2:$J$42,2,FALSE)</f>
        <v>kevin.hardianus@muf.co.id</v>
      </c>
      <c r="J281" s="121">
        <f>VLOOKUP(D281,'MAPPING MD &amp; SKENARIO'!B:D,3,FALSE)</f>
        <v>1.3</v>
      </c>
      <c r="K281" s="121">
        <f t="shared" si="11"/>
        <v>0.65</v>
      </c>
      <c r="L281" s="121">
        <v>1</v>
      </c>
      <c r="M281" s="127">
        <f t="shared" si="10"/>
        <v>3</v>
      </c>
      <c r="R281" s="118"/>
    </row>
    <row r="282" spans="1:18" ht="28.8">
      <c r="A282" s="80">
        <v>312</v>
      </c>
      <c r="B282" s="120" t="s">
        <v>1021</v>
      </c>
      <c r="C282" s="158"/>
      <c r="D282" s="92" t="s">
        <v>22</v>
      </c>
      <c r="E282" s="92" t="s">
        <v>379</v>
      </c>
      <c r="F282" s="92" t="s">
        <v>655</v>
      </c>
      <c r="G282" s="92" t="s">
        <v>656</v>
      </c>
      <c r="H282" s="120" t="str">
        <f>VLOOKUP(LEFT(B282,FIND("-",B282)-1),'MAPPING MD &amp; SKENARIO'!$H$2:$I$42,2,FALSE)</f>
        <v>Kevin</v>
      </c>
      <c r="I282" s="92" t="str">
        <f>VLOOKUP(H282,'MAPPING MD &amp; SKENARIO'!$I$2:$J$42,2,FALSE)</f>
        <v>kevin.hardianus@muf.co.id</v>
      </c>
      <c r="J282" s="121">
        <f>VLOOKUP(D282,'MAPPING MD &amp; SKENARIO'!B:D,3,FALSE)</f>
        <v>1.3</v>
      </c>
      <c r="K282" s="121">
        <f t="shared" si="11"/>
        <v>0.65</v>
      </c>
      <c r="L282" s="121">
        <v>1</v>
      </c>
      <c r="M282" s="127">
        <f t="shared" si="10"/>
        <v>3</v>
      </c>
      <c r="R282" s="118"/>
    </row>
    <row r="283" spans="1:18" ht="57.6">
      <c r="A283" s="80">
        <v>313</v>
      </c>
      <c r="B283" s="120" t="s">
        <v>1022</v>
      </c>
      <c r="C283" s="158"/>
      <c r="D283" s="92" t="s">
        <v>24</v>
      </c>
      <c r="E283" s="92" t="s">
        <v>657</v>
      </c>
      <c r="F283" s="92" t="s">
        <v>658</v>
      </c>
      <c r="G283" s="92" t="s">
        <v>659</v>
      </c>
      <c r="H283" s="120" t="str">
        <f>VLOOKUP(LEFT(B283,FIND("-",B283)-1),'MAPPING MD &amp; SKENARIO'!$H$2:$I$42,2,FALSE)</f>
        <v>Kevin</v>
      </c>
      <c r="I283" s="92" t="str">
        <f>VLOOKUP(H283,'MAPPING MD &amp; SKENARIO'!$I$2:$J$42,2,FALSE)</f>
        <v>kevin.hardianus@muf.co.id</v>
      </c>
      <c r="J283" s="121">
        <f>VLOOKUP(D283,'MAPPING MD &amp; SKENARIO'!B:D,3,FALSE)</f>
        <v>0.65</v>
      </c>
      <c r="K283" s="121">
        <f t="shared" si="11"/>
        <v>0.32500000000000001</v>
      </c>
      <c r="L283" s="121">
        <v>1</v>
      </c>
      <c r="M283" s="127">
        <f t="shared" si="10"/>
        <v>2</v>
      </c>
      <c r="R283" s="118"/>
    </row>
    <row r="284" spans="1:18" ht="72">
      <c r="A284" s="80">
        <v>314</v>
      </c>
      <c r="B284" s="120" t="s">
        <v>631</v>
      </c>
      <c r="C284" s="158" t="s">
        <v>192</v>
      </c>
      <c r="D284" s="92" t="s">
        <v>6</v>
      </c>
      <c r="E284" s="92" t="s">
        <v>276</v>
      </c>
      <c r="F284" s="92" t="s">
        <v>277</v>
      </c>
      <c r="G284" s="92" t="s">
        <v>278</v>
      </c>
      <c r="H284" s="120" t="str">
        <f>VLOOKUP(LEFT(B284,FIND("-",B284)-1),'MAPPING MD &amp; SKENARIO'!$H$2:$I$42,2,FALSE)</f>
        <v>Rasya</v>
      </c>
      <c r="I284" s="92" t="str">
        <f>VLOOKUP(H284,'MAPPING MD &amp; SKENARIO'!$I$2:$J$42,2,FALSE)</f>
        <v>rasya.raharjo@muf.co.id</v>
      </c>
      <c r="J284" s="121">
        <f>VLOOKUP(D284,'MAPPING MD &amp; SKENARIO'!B:D,3,FALSE)</f>
        <v>1.3</v>
      </c>
      <c r="K284" s="121">
        <f t="shared" si="11"/>
        <v>0.65</v>
      </c>
      <c r="L284" s="121">
        <v>1</v>
      </c>
      <c r="M284" s="127">
        <f t="shared" si="10"/>
        <v>3</v>
      </c>
      <c r="R284" s="118"/>
    </row>
    <row r="285" spans="1:18" ht="28.8">
      <c r="A285" s="80">
        <v>315</v>
      </c>
      <c r="B285" s="120" t="s">
        <v>632</v>
      </c>
      <c r="C285" s="158"/>
      <c r="D285" s="92" t="s">
        <v>12</v>
      </c>
      <c r="E285" s="92" t="s">
        <v>606</v>
      </c>
      <c r="F285" s="92" t="s">
        <v>662</v>
      </c>
      <c r="G285" s="92" t="s">
        <v>608</v>
      </c>
      <c r="H285" s="120" t="str">
        <f>VLOOKUP(LEFT(B285,FIND("-",B285)-1),'MAPPING MD &amp; SKENARIO'!$H$2:$I$42,2,FALSE)</f>
        <v>Rasya</v>
      </c>
      <c r="I285" s="92" t="str">
        <f>VLOOKUP(H285,'MAPPING MD &amp; SKENARIO'!$I$2:$J$42,2,FALSE)</f>
        <v>rasya.raharjo@muf.co.id</v>
      </c>
      <c r="J285" s="121">
        <f>VLOOKUP(D285,'MAPPING MD &amp; SKENARIO'!B:D,3,FALSE)</f>
        <v>1.3</v>
      </c>
      <c r="K285" s="121">
        <f t="shared" si="11"/>
        <v>0.65</v>
      </c>
      <c r="L285" s="121">
        <v>1</v>
      </c>
      <c r="M285" s="127">
        <f t="shared" si="10"/>
        <v>3</v>
      </c>
      <c r="R285" s="118"/>
    </row>
    <row r="286" spans="1:18" ht="57.6">
      <c r="A286" s="80">
        <v>316</v>
      </c>
      <c r="B286" s="120" t="s">
        <v>633</v>
      </c>
      <c r="C286" s="158"/>
      <c r="D286" s="92" t="s">
        <v>42</v>
      </c>
      <c r="E286" s="92" t="s">
        <v>664</v>
      </c>
      <c r="F286" s="92" t="s">
        <v>665</v>
      </c>
      <c r="G286" s="92" t="s">
        <v>666</v>
      </c>
      <c r="H286" s="120" t="str">
        <f>VLOOKUP(LEFT(B286,FIND("-",B286)-1),'MAPPING MD &amp; SKENARIO'!$H$2:$I$42,2,FALSE)</f>
        <v>Rasya</v>
      </c>
      <c r="I286" s="92" t="str">
        <f>VLOOKUP(H286,'MAPPING MD &amp; SKENARIO'!$I$2:$J$42,2,FALSE)</f>
        <v>rasya.raharjo@muf.co.id</v>
      </c>
      <c r="J286" s="121">
        <f>VLOOKUP(D286,'MAPPING MD &amp; SKENARIO'!B:D,3,FALSE)</f>
        <v>0.26</v>
      </c>
      <c r="K286" s="121">
        <f t="shared" si="11"/>
        <v>0.13</v>
      </c>
      <c r="L286" s="121">
        <v>1</v>
      </c>
      <c r="M286" s="127">
        <f t="shared" si="10"/>
        <v>2</v>
      </c>
      <c r="R286" s="118"/>
    </row>
    <row r="287" spans="1:18" ht="72">
      <c r="A287" s="80">
        <v>317</v>
      </c>
      <c r="B287" s="120" t="s">
        <v>640</v>
      </c>
      <c r="C287" s="158" t="s">
        <v>193</v>
      </c>
      <c r="D287" s="92" t="s">
        <v>6</v>
      </c>
      <c r="E287" s="92" t="s">
        <v>276</v>
      </c>
      <c r="F287" s="92" t="s">
        <v>277</v>
      </c>
      <c r="G287" s="92" t="s">
        <v>278</v>
      </c>
      <c r="H287" s="120" t="str">
        <f>VLOOKUP(LEFT(B287,FIND("-",B287)-1),'MAPPING MD &amp; SKENARIO'!$H$2:$I$42,2,FALSE)</f>
        <v>Azhar</v>
      </c>
      <c r="I287" s="92" t="str">
        <f>VLOOKUP(H287,'MAPPING MD &amp; SKENARIO'!$I$2:$J$42,2,FALSE)</f>
        <v>azhar.azhar@muf.co.id</v>
      </c>
      <c r="J287" s="121">
        <f>VLOOKUP(D287,'MAPPING MD &amp; SKENARIO'!B:D,3,FALSE)</f>
        <v>1.3</v>
      </c>
      <c r="K287" s="121">
        <f t="shared" si="11"/>
        <v>0.65</v>
      </c>
      <c r="L287" s="121">
        <v>1</v>
      </c>
      <c r="M287" s="127">
        <f t="shared" si="10"/>
        <v>3</v>
      </c>
      <c r="R287" s="118"/>
    </row>
    <row r="288" spans="1:18" ht="28.8">
      <c r="A288" s="80">
        <v>318</v>
      </c>
      <c r="B288" s="120" t="s">
        <v>641</v>
      </c>
      <c r="C288" s="158"/>
      <c r="D288" s="92" t="s">
        <v>12</v>
      </c>
      <c r="E288" s="92" t="s">
        <v>606</v>
      </c>
      <c r="F288" s="92" t="s">
        <v>607</v>
      </c>
      <c r="G288" s="92" t="s">
        <v>608</v>
      </c>
      <c r="H288" s="120" t="str">
        <f>VLOOKUP(LEFT(B288,FIND("-",B288)-1),'MAPPING MD &amp; SKENARIO'!$H$2:$I$42,2,FALSE)</f>
        <v>Azhar</v>
      </c>
      <c r="I288" s="92" t="str">
        <f>VLOOKUP(H288,'MAPPING MD &amp; SKENARIO'!$I$2:$J$42,2,FALSE)</f>
        <v>azhar.azhar@muf.co.id</v>
      </c>
      <c r="J288" s="121">
        <f>VLOOKUP(D288,'MAPPING MD &amp; SKENARIO'!B:D,3,FALSE)</f>
        <v>1.3</v>
      </c>
      <c r="K288" s="121">
        <f t="shared" si="11"/>
        <v>0.65</v>
      </c>
      <c r="L288" s="121">
        <v>1</v>
      </c>
      <c r="M288" s="127">
        <f t="shared" si="10"/>
        <v>3</v>
      </c>
      <c r="R288" s="118"/>
    </row>
    <row r="289" spans="1:18" ht="43.2">
      <c r="A289" s="80">
        <v>319</v>
      </c>
      <c r="B289" s="120" t="s">
        <v>642</v>
      </c>
      <c r="C289" s="158"/>
      <c r="D289" s="92" t="s">
        <v>14</v>
      </c>
      <c r="E289" s="92" t="s">
        <v>616</v>
      </c>
      <c r="F289" s="92" t="s">
        <v>670</v>
      </c>
      <c r="G289" s="92" t="s">
        <v>626</v>
      </c>
      <c r="H289" s="120" t="str">
        <f>VLOOKUP(LEFT(B289,FIND("-",B289)-1),'MAPPING MD &amp; SKENARIO'!$H$2:$I$42,2,FALSE)</f>
        <v>Azhar</v>
      </c>
      <c r="I289" s="92" t="str">
        <f>VLOOKUP(H289,'MAPPING MD &amp; SKENARIO'!$I$2:$J$42,2,FALSE)</f>
        <v>azhar.azhar@muf.co.id</v>
      </c>
      <c r="J289" s="121">
        <f>VLOOKUP(D289,'MAPPING MD &amp; SKENARIO'!B:D,3,FALSE)</f>
        <v>2.6</v>
      </c>
      <c r="K289" s="121">
        <f t="shared" si="11"/>
        <v>1.3</v>
      </c>
      <c r="L289" s="121">
        <v>1</v>
      </c>
      <c r="M289" s="127">
        <f t="shared" si="10"/>
        <v>5</v>
      </c>
      <c r="R289" s="118"/>
    </row>
    <row r="290" spans="1:18" ht="57.6">
      <c r="A290" s="80">
        <v>320</v>
      </c>
      <c r="B290" s="120" t="s">
        <v>643</v>
      </c>
      <c r="C290" s="158"/>
      <c r="D290" s="92" t="s">
        <v>44</v>
      </c>
      <c r="E290" s="92" t="s">
        <v>672</v>
      </c>
      <c r="F290" s="92" t="s">
        <v>673</v>
      </c>
      <c r="G290" s="92" t="s">
        <v>674</v>
      </c>
      <c r="H290" s="120" t="str">
        <f>VLOOKUP(LEFT(B290,FIND("-",B290)-1),'MAPPING MD &amp; SKENARIO'!$H$2:$I$42,2,FALSE)</f>
        <v>Azhar</v>
      </c>
      <c r="I290" s="92" t="str">
        <f>VLOOKUP(H290,'MAPPING MD &amp; SKENARIO'!$I$2:$J$42,2,FALSE)</f>
        <v>azhar.azhar@muf.co.id</v>
      </c>
      <c r="J290" s="121">
        <f>VLOOKUP(D290,'MAPPING MD &amp; SKENARIO'!B:D,3,FALSE)</f>
        <v>0.26</v>
      </c>
      <c r="K290" s="121">
        <f t="shared" si="11"/>
        <v>0.13</v>
      </c>
      <c r="L290" s="121">
        <v>1</v>
      </c>
      <c r="M290" s="127">
        <f t="shared" si="10"/>
        <v>2</v>
      </c>
      <c r="R290" s="118"/>
    </row>
    <row r="291" spans="1:18" ht="72">
      <c r="A291" s="80">
        <v>321</v>
      </c>
      <c r="B291" s="120" t="s">
        <v>650</v>
      </c>
      <c r="C291" s="158" t="s">
        <v>194</v>
      </c>
      <c r="D291" s="92" t="s">
        <v>6</v>
      </c>
      <c r="E291" s="92" t="s">
        <v>276</v>
      </c>
      <c r="F291" s="92" t="s">
        <v>277</v>
      </c>
      <c r="G291" s="92" t="s">
        <v>278</v>
      </c>
      <c r="H291" s="120" t="str">
        <f>VLOOKUP(LEFT(B291,FIND("-",B291)-1),'MAPPING MD &amp; SKENARIO'!$H$2:$I$42,2,FALSE)</f>
        <v>Affinia</v>
      </c>
      <c r="I291" s="92" t="str">
        <f>VLOOKUP(H291,'MAPPING MD &amp; SKENARIO'!$I$2:$J$42,2,FALSE)</f>
        <v>affinia.by@muf.co.id</v>
      </c>
      <c r="J291" s="121">
        <f>VLOOKUP(D291,'MAPPING MD &amp; SKENARIO'!B:D,3,FALSE)</f>
        <v>1.3</v>
      </c>
      <c r="K291" s="121">
        <f t="shared" si="11"/>
        <v>0.65</v>
      </c>
      <c r="L291" s="121">
        <v>1</v>
      </c>
      <c r="M291" s="127">
        <f t="shared" si="10"/>
        <v>3</v>
      </c>
      <c r="R291" s="118"/>
    </row>
    <row r="292" spans="1:18" ht="28.8">
      <c r="A292" s="80">
        <v>322</v>
      </c>
      <c r="B292" s="120" t="s">
        <v>651</v>
      </c>
      <c r="C292" s="158"/>
      <c r="D292" s="92" t="s">
        <v>12</v>
      </c>
      <c r="E292" s="92" t="s">
        <v>606</v>
      </c>
      <c r="F292" s="92" t="s">
        <v>607</v>
      </c>
      <c r="G292" s="92" t="s">
        <v>608</v>
      </c>
      <c r="H292" s="120" t="str">
        <f>VLOOKUP(LEFT(B292,FIND("-",B292)-1),'MAPPING MD &amp; SKENARIO'!$H$2:$I$42,2,FALSE)</f>
        <v>Affinia</v>
      </c>
      <c r="I292" s="92" t="str">
        <f>VLOOKUP(H292,'MAPPING MD &amp; SKENARIO'!$I$2:$J$42,2,FALSE)</f>
        <v>affinia.by@muf.co.id</v>
      </c>
      <c r="J292" s="121">
        <f>VLOOKUP(D292,'MAPPING MD &amp; SKENARIO'!B:D,3,FALSE)</f>
        <v>1.3</v>
      </c>
      <c r="K292" s="121">
        <f t="shared" si="11"/>
        <v>0.65</v>
      </c>
      <c r="L292" s="121">
        <v>1</v>
      </c>
      <c r="M292" s="127">
        <f t="shared" si="10"/>
        <v>3</v>
      </c>
      <c r="R292" s="118"/>
    </row>
    <row r="293" spans="1:18" ht="43.2">
      <c r="A293" s="80">
        <v>323</v>
      </c>
      <c r="B293" s="120" t="s">
        <v>652</v>
      </c>
      <c r="C293" s="158"/>
      <c r="D293" s="92" t="s">
        <v>14</v>
      </c>
      <c r="E293" s="92" t="s">
        <v>616</v>
      </c>
      <c r="F293" s="92" t="s">
        <v>670</v>
      </c>
      <c r="G293" s="92" t="s">
        <v>626</v>
      </c>
      <c r="H293" s="120" t="str">
        <f>VLOOKUP(LEFT(B293,FIND("-",B293)-1),'MAPPING MD &amp; SKENARIO'!$H$2:$I$42,2,FALSE)</f>
        <v>Affinia</v>
      </c>
      <c r="I293" s="92" t="str">
        <f>VLOOKUP(H293,'MAPPING MD &amp; SKENARIO'!$I$2:$J$42,2,FALSE)</f>
        <v>affinia.by@muf.co.id</v>
      </c>
      <c r="J293" s="121">
        <f>VLOOKUP(D293,'MAPPING MD &amp; SKENARIO'!B:D,3,FALSE)</f>
        <v>2.6</v>
      </c>
      <c r="K293" s="121">
        <f t="shared" si="11"/>
        <v>1.3</v>
      </c>
      <c r="L293" s="121">
        <v>1</v>
      </c>
      <c r="M293" s="127">
        <f t="shared" si="10"/>
        <v>5</v>
      </c>
      <c r="R293" s="118"/>
    </row>
    <row r="294" spans="1:18" ht="42" customHeight="1">
      <c r="A294" s="80">
        <v>324</v>
      </c>
      <c r="B294" s="120" t="s">
        <v>653</v>
      </c>
      <c r="C294" s="158"/>
      <c r="D294" s="92" t="s">
        <v>16</v>
      </c>
      <c r="E294" s="92" t="s">
        <v>644</v>
      </c>
      <c r="F294" s="92" t="s">
        <v>679</v>
      </c>
      <c r="G294" s="92" t="s">
        <v>680</v>
      </c>
      <c r="H294" s="120" t="str">
        <f>VLOOKUP(LEFT(B294,FIND("-",B294)-1),'MAPPING MD &amp; SKENARIO'!$H$2:$I$42,2,FALSE)</f>
        <v>Affinia</v>
      </c>
      <c r="I294" s="92" t="str">
        <f>VLOOKUP(H294,'MAPPING MD &amp; SKENARIO'!$I$2:$J$42,2,FALSE)</f>
        <v>affinia.by@muf.co.id</v>
      </c>
      <c r="J294" s="121">
        <f>VLOOKUP(D294,'MAPPING MD &amp; SKENARIO'!B:D,3,FALSE)</f>
        <v>1.3</v>
      </c>
      <c r="K294" s="121">
        <f t="shared" si="11"/>
        <v>0.65</v>
      </c>
      <c r="L294" s="121">
        <v>1</v>
      </c>
      <c r="M294" s="127">
        <f t="shared" si="10"/>
        <v>3</v>
      </c>
      <c r="R294" s="118"/>
    </row>
    <row r="295" spans="1:18" ht="57.6">
      <c r="A295" s="80">
        <v>325</v>
      </c>
      <c r="B295" s="120" t="s">
        <v>654</v>
      </c>
      <c r="C295" s="158"/>
      <c r="D295" s="92" t="s">
        <v>46</v>
      </c>
      <c r="E295" s="92" t="s">
        <v>681</v>
      </c>
      <c r="F295" s="92" t="s">
        <v>682</v>
      </c>
      <c r="G295" s="92" t="s">
        <v>683</v>
      </c>
      <c r="H295" s="120" t="str">
        <f>VLOOKUP(LEFT(B295,FIND("-",B295)-1),'MAPPING MD &amp; SKENARIO'!$H$2:$I$42,2,FALSE)</f>
        <v>Affinia</v>
      </c>
      <c r="I295" s="92" t="str">
        <f>VLOOKUP(H295,'MAPPING MD &amp; SKENARIO'!$I$2:$J$42,2,FALSE)</f>
        <v>affinia.by@muf.co.id</v>
      </c>
      <c r="J295" s="121">
        <f>VLOOKUP(D295,'MAPPING MD &amp; SKENARIO'!B:D,3,FALSE)</f>
        <v>0.26</v>
      </c>
      <c r="K295" s="121">
        <f t="shared" si="11"/>
        <v>0.13</v>
      </c>
      <c r="L295" s="121">
        <v>1</v>
      </c>
      <c r="M295" s="127">
        <f t="shared" si="10"/>
        <v>2</v>
      </c>
      <c r="R295" s="118"/>
    </row>
    <row r="296" spans="1:18" ht="72">
      <c r="A296" s="80">
        <v>326</v>
      </c>
      <c r="B296" s="120" t="s">
        <v>660</v>
      </c>
      <c r="C296" s="158" t="s">
        <v>195</v>
      </c>
      <c r="D296" s="92" t="s">
        <v>6</v>
      </c>
      <c r="E296" s="92" t="s">
        <v>276</v>
      </c>
      <c r="F296" s="92" t="s">
        <v>277</v>
      </c>
      <c r="G296" s="92" t="s">
        <v>278</v>
      </c>
      <c r="H296" s="120" t="str">
        <f>VLOOKUP(LEFT(B296,FIND("-",B296)-1),'MAPPING MD &amp; SKENARIO'!$H$2:$I$42,2,FALSE)</f>
        <v>Kevin</v>
      </c>
      <c r="I296" s="92" t="str">
        <f>VLOOKUP(H296,'MAPPING MD &amp; SKENARIO'!$I$2:$J$42,2,FALSE)</f>
        <v>kevin.hardianus@muf.co.id</v>
      </c>
      <c r="J296" s="121">
        <f>VLOOKUP(D296,'MAPPING MD &amp; SKENARIO'!B:D,3,FALSE)</f>
        <v>1.3</v>
      </c>
      <c r="K296" s="121">
        <f t="shared" ref="K296:K311" si="12">J296*50%</f>
        <v>0.65</v>
      </c>
      <c r="L296" s="121">
        <v>1</v>
      </c>
      <c r="M296" s="127">
        <f t="shared" si="10"/>
        <v>3</v>
      </c>
      <c r="R296" s="118"/>
    </row>
    <row r="297" spans="1:18" ht="115.2">
      <c r="A297" s="80">
        <v>327</v>
      </c>
      <c r="B297" s="120" t="s">
        <v>661</v>
      </c>
      <c r="C297" s="158"/>
      <c r="D297" s="92" t="s">
        <v>12</v>
      </c>
      <c r="E297" s="92" t="s">
        <v>327</v>
      </c>
      <c r="F297" s="92" t="s">
        <v>391</v>
      </c>
      <c r="G297" s="92" t="s">
        <v>290</v>
      </c>
      <c r="H297" s="120" t="str">
        <f>VLOOKUP(LEFT(B297,FIND("-",B297)-1),'MAPPING MD &amp; SKENARIO'!$H$2:$I$42,2,FALSE)</f>
        <v>Kevin</v>
      </c>
      <c r="I297" s="92" t="str">
        <f>VLOOKUP(H297,'MAPPING MD &amp; SKENARIO'!$I$2:$J$42,2,FALSE)</f>
        <v>kevin.hardianus@muf.co.id</v>
      </c>
      <c r="J297" s="121">
        <f>VLOOKUP(D297,'MAPPING MD &amp; SKENARIO'!B:D,3,FALSE)</f>
        <v>1.3</v>
      </c>
      <c r="K297" s="121">
        <f t="shared" si="12"/>
        <v>0.65</v>
      </c>
      <c r="L297" s="121">
        <v>1</v>
      </c>
      <c r="M297" s="127">
        <f t="shared" si="10"/>
        <v>3</v>
      </c>
      <c r="R297" s="118"/>
    </row>
    <row r="298" spans="1:18" ht="158.4">
      <c r="A298" s="80">
        <v>328</v>
      </c>
      <c r="B298" s="120" t="s">
        <v>663</v>
      </c>
      <c r="C298" s="158"/>
      <c r="D298" s="92" t="s">
        <v>14</v>
      </c>
      <c r="E298" s="92" t="s">
        <v>330</v>
      </c>
      <c r="F298" s="92" t="s">
        <v>293</v>
      </c>
      <c r="G298" s="92" t="s">
        <v>294</v>
      </c>
      <c r="H298" s="120" t="str">
        <f>VLOOKUP(LEFT(B298,FIND("-",B298)-1),'MAPPING MD &amp; SKENARIO'!$H$2:$I$42,2,FALSE)</f>
        <v>Kevin</v>
      </c>
      <c r="I298" s="92" t="str">
        <f>VLOOKUP(H298,'MAPPING MD &amp; SKENARIO'!$I$2:$J$42,2,FALSE)</f>
        <v>kevin.hardianus@muf.co.id</v>
      </c>
      <c r="J298" s="121">
        <f>VLOOKUP(D298,'MAPPING MD &amp; SKENARIO'!B:D,3,FALSE)</f>
        <v>2.6</v>
      </c>
      <c r="K298" s="121">
        <f t="shared" si="12"/>
        <v>1.3</v>
      </c>
      <c r="L298" s="121">
        <v>1</v>
      </c>
      <c r="M298" s="127">
        <f t="shared" si="10"/>
        <v>5</v>
      </c>
      <c r="R298" s="118"/>
    </row>
    <row r="299" spans="1:18" ht="90" customHeight="1">
      <c r="A299" s="80">
        <v>329</v>
      </c>
      <c r="B299" s="120" t="s">
        <v>1023</v>
      </c>
      <c r="C299" s="158"/>
      <c r="D299" s="92" t="s">
        <v>16</v>
      </c>
      <c r="E299" s="92" t="s">
        <v>688</v>
      </c>
      <c r="F299" s="92" t="s">
        <v>689</v>
      </c>
      <c r="G299" s="92" t="s">
        <v>690</v>
      </c>
      <c r="H299" s="120" t="str">
        <f>VLOOKUP(LEFT(B299,FIND("-",B299)-1),'MAPPING MD &amp; SKENARIO'!$H$2:$I$42,2,FALSE)</f>
        <v>Kevin</v>
      </c>
      <c r="I299" s="92" t="str">
        <f>VLOOKUP(H299,'MAPPING MD &amp; SKENARIO'!$I$2:$J$42,2,FALSE)</f>
        <v>kevin.hardianus@muf.co.id</v>
      </c>
      <c r="J299" s="121">
        <f>VLOOKUP(D299,'MAPPING MD &amp; SKENARIO'!B:D,3,FALSE)</f>
        <v>1.3</v>
      </c>
      <c r="K299" s="121">
        <f t="shared" si="12"/>
        <v>0.65</v>
      </c>
      <c r="L299" s="121">
        <v>1</v>
      </c>
      <c r="M299" s="127">
        <f t="shared" si="10"/>
        <v>3</v>
      </c>
      <c r="R299" s="118"/>
    </row>
    <row r="300" spans="1:18" ht="72">
      <c r="A300" s="80">
        <v>330</v>
      </c>
      <c r="B300" s="120" t="s">
        <v>667</v>
      </c>
      <c r="C300" s="158" t="s">
        <v>196</v>
      </c>
      <c r="D300" s="92" t="s">
        <v>6</v>
      </c>
      <c r="E300" s="92" t="s">
        <v>276</v>
      </c>
      <c r="F300" s="92" t="s">
        <v>277</v>
      </c>
      <c r="G300" s="92" t="s">
        <v>278</v>
      </c>
      <c r="H300" s="120" t="str">
        <f>VLOOKUP(LEFT(B300,FIND("-",B300)-1),'MAPPING MD &amp; SKENARIO'!$H$2:$I$42,2,FALSE)</f>
        <v>Rasya</v>
      </c>
      <c r="I300" s="92" t="str">
        <f>VLOOKUP(H300,'MAPPING MD &amp; SKENARIO'!$I$2:$J$42,2,FALSE)</f>
        <v>rasya.raharjo@muf.co.id</v>
      </c>
      <c r="J300" s="121">
        <f>VLOOKUP(D300,'MAPPING MD &amp; SKENARIO'!B:D,3,FALSE)</f>
        <v>1.3</v>
      </c>
      <c r="K300" s="121">
        <f t="shared" si="12"/>
        <v>0.65</v>
      </c>
      <c r="L300" s="121">
        <v>1</v>
      </c>
      <c r="M300" s="127">
        <f t="shared" si="10"/>
        <v>3</v>
      </c>
      <c r="R300" s="118"/>
    </row>
    <row r="301" spans="1:18" ht="115.2">
      <c r="A301" s="80">
        <v>331</v>
      </c>
      <c r="B301" s="120" t="s">
        <v>668</v>
      </c>
      <c r="C301" s="158"/>
      <c r="D301" s="92" t="s">
        <v>12</v>
      </c>
      <c r="E301" s="92" t="s">
        <v>327</v>
      </c>
      <c r="F301" s="92" t="s">
        <v>391</v>
      </c>
      <c r="G301" s="92" t="s">
        <v>290</v>
      </c>
      <c r="H301" s="120" t="str">
        <f>VLOOKUP(LEFT(B301,FIND("-",B301)-1),'MAPPING MD &amp; SKENARIO'!$H$2:$I$42,2,FALSE)</f>
        <v>Rasya</v>
      </c>
      <c r="I301" s="92" t="str">
        <f>VLOOKUP(H301,'MAPPING MD &amp; SKENARIO'!$I$2:$J$42,2,FALSE)</f>
        <v>rasya.raharjo@muf.co.id</v>
      </c>
      <c r="J301" s="121">
        <f>VLOOKUP(D301,'MAPPING MD &amp; SKENARIO'!B:D,3,FALSE)</f>
        <v>1.3</v>
      </c>
      <c r="K301" s="121">
        <f t="shared" si="12"/>
        <v>0.65</v>
      </c>
      <c r="L301" s="121">
        <v>1</v>
      </c>
      <c r="M301" s="127">
        <f t="shared" si="10"/>
        <v>3</v>
      </c>
      <c r="R301" s="118"/>
    </row>
    <row r="302" spans="1:18" ht="158.4">
      <c r="A302" s="80">
        <v>332</v>
      </c>
      <c r="B302" s="120" t="s">
        <v>669</v>
      </c>
      <c r="C302" s="158"/>
      <c r="D302" s="92" t="s">
        <v>14</v>
      </c>
      <c r="E302" s="92" t="s">
        <v>330</v>
      </c>
      <c r="F302" s="92" t="s">
        <v>293</v>
      </c>
      <c r="G302" s="92" t="s">
        <v>294</v>
      </c>
      <c r="H302" s="120" t="str">
        <f>VLOOKUP(LEFT(B302,FIND("-",B302)-1),'MAPPING MD &amp; SKENARIO'!$H$2:$I$42,2,FALSE)</f>
        <v>Rasya</v>
      </c>
      <c r="I302" s="92" t="str">
        <f>VLOOKUP(H302,'MAPPING MD &amp; SKENARIO'!$I$2:$J$42,2,FALSE)</f>
        <v>rasya.raharjo@muf.co.id</v>
      </c>
      <c r="J302" s="121">
        <f>VLOOKUP(D302,'MAPPING MD &amp; SKENARIO'!B:D,3,FALSE)</f>
        <v>2.6</v>
      </c>
      <c r="K302" s="121">
        <f t="shared" si="12"/>
        <v>1.3</v>
      </c>
      <c r="L302" s="121">
        <v>1</v>
      </c>
      <c r="M302" s="127">
        <f t="shared" si="10"/>
        <v>5</v>
      </c>
      <c r="R302" s="118"/>
    </row>
    <row r="303" spans="1:18" ht="84.75" customHeight="1">
      <c r="A303" s="80">
        <v>333</v>
      </c>
      <c r="B303" s="120" t="s">
        <v>671</v>
      </c>
      <c r="C303" s="158"/>
      <c r="D303" s="92" t="s">
        <v>16</v>
      </c>
      <c r="E303" s="92" t="s">
        <v>691</v>
      </c>
      <c r="F303" s="92" t="s">
        <v>692</v>
      </c>
      <c r="G303" s="92" t="s">
        <v>693</v>
      </c>
      <c r="H303" s="120" t="str">
        <f>VLOOKUP(LEFT(B303,FIND("-",B303)-1),'MAPPING MD &amp; SKENARIO'!$H$2:$I$42,2,FALSE)</f>
        <v>Rasya</v>
      </c>
      <c r="I303" s="92" t="str">
        <f>VLOOKUP(H303,'MAPPING MD &amp; SKENARIO'!$I$2:$J$42,2,FALSE)</f>
        <v>rasya.raharjo@muf.co.id</v>
      </c>
      <c r="J303" s="121">
        <f>VLOOKUP(D303,'MAPPING MD &amp; SKENARIO'!B:D,3,FALSE)</f>
        <v>1.3</v>
      </c>
      <c r="K303" s="121">
        <f t="shared" si="12"/>
        <v>0.65</v>
      </c>
      <c r="L303" s="121">
        <v>1</v>
      </c>
      <c r="M303" s="127">
        <f t="shared" si="10"/>
        <v>3</v>
      </c>
      <c r="R303" s="118"/>
    </row>
    <row r="304" spans="1:18" ht="72">
      <c r="A304" s="80">
        <v>334</v>
      </c>
      <c r="B304" s="120" t="s">
        <v>675</v>
      </c>
      <c r="C304" s="158" t="s">
        <v>197</v>
      </c>
      <c r="D304" s="92" t="s">
        <v>6</v>
      </c>
      <c r="E304" s="92" t="s">
        <v>276</v>
      </c>
      <c r="F304" s="92" t="s">
        <v>277</v>
      </c>
      <c r="G304" s="92" t="s">
        <v>278</v>
      </c>
      <c r="H304" s="120" t="str">
        <f>VLOOKUP(LEFT(B304,FIND("-",B304)-1),'MAPPING MD &amp; SKENARIO'!$H$2:$I$42,2,FALSE)</f>
        <v>Azhar</v>
      </c>
      <c r="I304" s="92" t="str">
        <f>VLOOKUP(H304,'MAPPING MD &amp; SKENARIO'!$I$2:$J$42,2,FALSE)</f>
        <v>azhar.azhar@muf.co.id</v>
      </c>
      <c r="J304" s="121">
        <f>VLOOKUP(D304,'MAPPING MD &amp; SKENARIO'!B:D,3,FALSE)</f>
        <v>1.3</v>
      </c>
      <c r="K304" s="121">
        <f t="shared" si="12"/>
        <v>0.65</v>
      </c>
      <c r="L304" s="121">
        <v>1</v>
      </c>
      <c r="M304" s="127">
        <f t="shared" si="10"/>
        <v>3</v>
      </c>
      <c r="R304" s="118"/>
    </row>
    <row r="305" spans="1:18" ht="115.2">
      <c r="A305" s="80">
        <v>335</v>
      </c>
      <c r="B305" s="120" t="s">
        <v>676</v>
      </c>
      <c r="C305" s="158"/>
      <c r="D305" s="92" t="s">
        <v>12</v>
      </c>
      <c r="E305" s="92" t="s">
        <v>327</v>
      </c>
      <c r="F305" s="92" t="s">
        <v>391</v>
      </c>
      <c r="G305" s="92" t="s">
        <v>290</v>
      </c>
      <c r="H305" s="120" t="str">
        <f>VLOOKUP(LEFT(B305,FIND("-",B305)-1),'MAPPING MD &amp; SKENARIO'!$H$2:$I$42,2,FALSE)</f>
        <v>Azhar</v>
      </c>
      <c r="I305" s="92" t="str">
        <f>VLOOKUP(H305,'MAPPING MD &amp; SKENARIO'!$I$2:$J$42,2,FALSE)</f>
        <v>azhar.azhar@muf.co.id</v>
      </c>
      <c r="J305" s="121">
        <f>VLOOKUP(D305,'MAPPING MD &amp; SKENARIO'!B:D,3,FALSE)</f>
        <v>1.3</v>
      </c>
      <c r="K305" s="121">
        <f t="shared" si="12"/>
        <v>0.65</v>
      </c>
      <c r="L305" s="121">
        <v>1</v>
      </c>
      <c r="M305" s="127">
        <f t="shared" si="10"/>
        <v>3</v>
      </c>
      <c r="R305" s="118"/>
    </row>
    <row r="306" spans="1:18" ht="158.4">
      <c r="A306" s="80">
        <v>336</v>
      </c>
      <c r="B306" s="120" t="s">
        <v>677</v>
      </c>
      <c r="C306" s="158"/>
      <c r="D306" s="92" t="s">
        <v>14</v>
      </c>
      <c r="E306" s="92" t="s">
        <v>330</v>
      </c>
      <c r="F306" s="92" t="s">
        <v>293</v>
      </c>
      <c r="G306" s="92" t="s">
        <v>294</v>
      </c>
      <c r="H306" s="120" t="str">
        <f>VLOOKUP(LEFT(B306,FIND("-",B306)-1),'MAPPING MD &amp; SKENARIO'!$H$2:$I$42,2,FALSE)</f>
        <v>Azhar</v>
      </c>
      <c r="I306" s="92" t="str">
        <f>VLOOKUP(H306,'MAPPING MD &amp; SKENARIO'!$I$2:$J$42,2,FALSE)</f>
        <v>azhar.azhar@muf.co.id</v>
      </c>
      <c r="J306" s="121">
        <f>VLOOKUP(D306,'MAPPING MD &amp; SKENARIO'!B:D,3,FALSE)</f>
        <v>2.6</v>
      </c>
      <c r="K306" s="121">
        <f t="shared" si="12"/>
        <v>1.3</v>
      </c>
      <c r="L306" s="121">
        <v>1</v>
      </c>
      <c r="M306" s="127">
        <f t="shared" si="10"/>
        <v>5</v>
      </c>
      <c r="R306" s="118"/>
    </row>
    <row r="307" spans="1:18" ht="72">
      <c r="A307" s="80">
        <v>337</v>
      </c>
      <c r="B307" s="120" t="s">
        <v>678</v>
      </c>
      <c r="C307" s="158"/>
      <c r="D307" s="92" t="s">
        <v>20</v>
      </c>
      <c r="E307" s="92" t="s">
        <v>694</v>
      </c>
      <c r="F307" s="92" t="s">
        <v>695</v>
      </c>
      <c r="G307" s="92" t="s">
        <v>696</v>
      </c>
      <c r="H307" s="120" t="str">
        <f>VLOOKUP(LEFT(B307,FIND("-",B307)-1),'MAPPING MD &amp; SKENARIO'!$H$2:$I$42,2,FALSE)</f>
        <v>Azhar</v>
      </c>
      <c r="I307" s="92" t="str">
        <f>VLOOKUP(H307,'MAPPING MD &amp; SKENARIO'!$I$2:$J$42,2,FALSE)</f>
        <v>azhar.azhar@muf.co.id</v>
      </c>
      <c r="J307" s="121">
        <f>VLOOKUP(D307,'MAPPING MD &amp; SKENARIO'!B:D,3,FALSE)</f>
        <v>1.3</v>
      </c>
      <c r="K307" s="121">
        <f t="shared" si="12"/>
        <v>0.65</v>
      </c>
      <c r="L307" s="121">
        <v>1</v>
      </c>
      <c r="M307" s="127">
        <f t="shared" si="10"/>
        <v>3</v>
      </c>
      <c r="R307" s="118"/>
    </row>
    <row r="308" spans="1:18" ht="72">
      <c r="A308" s="80">
        <v>338</v>
      </c>
      <c r="B308" s="120" t="s">
        <v>684</v>
      </c>
      <c r="C308" s="158" t="s">
        <v>198</v>
      </c>
      <c r="D308" s="92" t="s">
        <v>6</v>
      </c>
      <c r="E308" s="92" t="s">
        <v>276</v>
      </c>
      <c r="F308" s="92" t="s">
        <v>277</v>
      </c>
      <c r="G308" s="92" t="s">
        <v>278</v>
      </c>
      <c r="H308" s="120" t="str">
        <f>VLOOKUP(LEFT(B308,FIND("-",B308)-1),'MAPPING MD &amp; SKENARIO'!$H$2:$I$42,2,FALSE)</f>
        <v>Affinia</v>
      </c>
      <c r="I308" s="92" t="str">
        <f>VLOOKUP(H308,'MAPPING MD &amp; SKENARIO'!$I$2:$J$42,2,FALSE)</f>
        <v>affinia.by@muf.co.id</v>
      </c>
      <c r="J308" s="121">
        <f>VLOOKUP(D308,'MAPPING MD &amp; SKENARIO'!B:D,3,FALSE)</f>
        <v>1.3</v>
      </c>
      <c r="K308" s="121">
        <f t="shared" si="12"/>
        <v>0.65</v>
      </c>
      <c r="L308" s="121">
        <v>1</v>
      </c>
      <c r="M308" s="127">
        <f t="shared" si="10"/>
        <v>3</v>
      </c>
      <c r="R308" s="118"/>
    </row>
    <row r="309" spans="1:18" ht="115.2">
      <c r="A309" s="80">
        <v>339</v>
      </c>
      <c r="B309" s="120" t="s">
        <v>685</v>
      </c>
      <c r="C309" s="158"/>
      <c r="D309" s="92" t="s">
        <v>12</v>
      </c>
      <c r="E309" s="92" t="s">
        <v>327</v>
      </c>
      <c r="F309" s="92" t="s">
        <v>391</v>
      </c>
      <c r="G309" s="92" t="s">
        <v>290</v>
      </c>
      <c r="H309" s="120" t="str">
        <f>VLOOKUP(LEFT(B309,FIND("-",B309)-1),'MAPPING MD &amp; SKENARIO'!$H$2:$I$42,2,FALSE)</f>
        <v>Affinia</v>
      </c>
      <c r="I309" s="92" t="str">
        <f>VLOOKUP(H309,'MAPPING MD &amp; SKENARIO'!$I$2:$J$42,2,FALSE)</f>
        <v>affinia.by@muf.co.id</v>
      </c>
      <c r="J309" s="121">
        <f>VLOOKUP(D309,'MAPPING MD &amp; SKENARIO'!B:D,3,FALSE)</f>
        <v>1.3</v>
      </c>
      <c r="K309" s="121">
        <f t="shared" si="12"/>
        <v>0.65</v>
      </c>
      <c r="L309" s="121">
        <v>1</v>
      </c>
      <c r="M309" s="127">
        <f t="shared" si="10"/>
        <v>3</v>
      </c>
      <c r="R309" s="118"/>
    </row>
    <row r="310" spans="1:18" ht="158.4">
      <c r="A310" s="80">
        <v>340</v>
      </c>
      <c r="B310" s="120" t="s">
        <v>686</v>
      </c>
      <c r="C310" s="158"/>
      <c r="D310" s="92" t="s">
        <v>14</v>
      </c>
      <c r="E310" s="92" t="s">
        <v>330</v>
      </c>
      <c r="F310" s="92" t="s">
        <v>293</v>
      </c>
      <c r="G310" s="92" t="s">
        <v>294</v>
      </c>
      <c r="H310" s="120" t="str">
        <f>VLOOKUP(LEFT(B310,FIND("-",B310)-1),'MAPPING MD &amp; SKENARIO'!$H$2:$I$42,2,FALSE)</f>
        <v>Affinia</v>
      </c>
      <c r="I310" s="92" t="str">
        <f>VLOOKUP(H310,'MAPPING MD &amp; SKENARIO'!$I$2:$J$42,2,FALSE)</f>
        <v>affinia.by@muf.co.id</v>
      </c>
      <c r="J310" s="121">
        <f>VLOOKUP(D310,'MAPPING MD &amp; SKENARIO'!B:D,3,FALSE)</f>
        <v>2.6</v>
      </c>
      <c r="K310" s="121">
        <f t="shared" si="12"/>
        <v>1.3</v>
      </c>
      <c r="L310" s="121">
        <v>1</v>
      </c>
      <c r="M310" s="127">
        <f t="shared" si="10"/>
        <v>5</v>
      </c>
      <c r="R310" s="118"/>
    </row>
    <row r="311" spans="1:18" ht="80.400000000000006" customHeight="1">
      <c r="A311" s="80">
        <v>341</v>
      </c>
      <c r="B311" s="120" t="s">
        <v>687</v>
      </c>
      <c r="C311" s="158"/>
      <c r="D311" s="92" t="s">
        <v>20</v>
      </c>
      <c r="E311" s="92" t="s">
        <v>697</v>
      </c>
      <c r="F311" s="92" t="s">
        <v>698</v>
      </c>
      <c r="G311" s="92" t="s">
        <v>699</v>
      </c>
      <c r="H311" s="120" t="str">
        <f>VLOOKUP(LEFT(B311,FIND("-",B311)-1),'MAPPING MD &amp; SKENARIO'!$H$2:$I$42,2,FALSE)</f>
        <v>Affinia</v>
      </c>
      <c r="I311" s="92" t="str">
        <f>VLOOKUP(H311,'MAPPING MD &amp; SKENARIO'!$I$2:$J$42,2,FALSE)</f>
        <v>affinia.by@muf.co.id</v>
      </c>
      <c r="J311" s="121">
        <f>VLOOKUP(D311,'MAPPING MD &amp; SKENARIO'!B:D,3,FALSE)</f>
        <v>1.3</v>
      </c>
      <c r="K311" s="121">
        <f t="shared" si="12"/>
        <v>0.65</v>
      </c>
      <c r="L311" s="121">
        <v>1</v>
      </c>
      <c r="M311" s="127">
        <f t="shared" si="10"/>
        <v>3</v>
      </c>
      <c r="R311" s="118"/>
    </row>
    <row r="312" spans="1:18" ht="89.4" customHeight="1">
      <c r="A312" s="80">
        <v>342</v>
      </c>
      <c r="B312" s="120" t="s">
        <v>1042</v>
      </c>
      <c r="C312" s="158" t="s">
        <v>163</v>
      </c>
      <c r="D312" s="92" t="s">
        <v>6</v>
      </c>
      <c r="E312" s="92" t="s">
        <v>1038</v>
      </c>
      <c r="F312" s="92" t="s">
        <v>277</v>
      </c>
      <c r="G312" s="92" t="s">
        <v>278</v>
      </c>
      <c r="H312" s="120" t="str">
        <f>VLOOKUP(LEFT(B312,FIND("-",B312)-1),'MAPPING MD &amp; SKENARIO'!$H$2:$I$42,2,FALSE)</f>
        <v>Kevin</v>
      </c>
      <c r="I312" s="92" t="str">
        <f>VLOOKUP(H312,'MAPPING MD &amp; SKENARIO'!$I$2:$J$42,2,FALSE)</f>
        <v>kevin.hardianus@muf.co.id</v>
      </c>
      <c r="J312" s="121">
        <f>VLOOKUP(D312,'MAPPING MD &amp; SKENARIO'!B:D,3,FALSE)</f>
        <v>1.3</v>
      </c>
      <c r="K312" s="121">
        <f t="shared" ref="K312:K318" si="13">J312*50%</f>
        <v>0.65</v>
      </c>
      <c r="L312" s="121">
        <v>1</v>
      </c>
      <c r="M312" s="127">
        <f t="shared" si="10"/>
        <v>3</v>
      </c>
      <c r="R312" s="118"/>
    </row>
    <row r="313" spans="1:18" ht="89.4" customHeight="1">
      <c r="A313" s="80">
        <v>343</v>
      </c>
      <c r="B313" s="120" t="s">
        <v>1043</v>
      </c>
      <c r="C313" s="158"/>
      <c r="D313" s="92" t="s">
        <v>8</v>
      </c>
      <c r="E313" s="92" t="s">
        <v>1039</v>
      </c>
      <c r="F313" s="92" t="s">
        <v>1040</v>
      </c>
      <c r="G313" s="92" t="s">
        <v>1041</v>
      </c>
      <c r="H313" s="120" t="str">
        <f>VLOOKUP(LEFT(B313,FIND("-",B313)-1),'MAPPING MD &amp; SKENARIO'!$H$2:$I$42,2,FALSE)</f>
        <v>Kevin</v>
      </c>
      <c r="I313" s="92" t="str">
        <f>VLOOKUP(H313,'MAPPING MD &amp; SKENARIO'!$I$2:$J$42,2,FALSE)</f>
        <v>kevin.hardianus@muf.co.id</v>
      </c>
      <c r="J313" s="121">
        <f>VLOOKUP(D313,'MAPPING MD &amp; SKENARIO'!B:D,3,FALSE)</f>
        <v>1.95</v>
      </c>
      <c r="K313" s="121">
        <f t="shared" si="13"/>
        <v>0.97499999999999998</v>
      </c>
      <c r="L313" s="121">
        <v>1</v>
      </c>
      <c r="M313" s="127">
        <f t="shared" si="10"/>
        <v>4</v>
      </c>
      <c r="R313" s="118"/>
    </row>
    <row r="314" spans="1:18" ht="89.4" customHeight="1">
      <c r="A314" s="80">
        <v>344</v>
      </c>
      <c r="B314" s="120" t="s">
        <v>1049</v>
      </c>
      <c r="C314" s="158" t="s">
        <v>1048</v>
      </c>
      <c r="D314" s="92" t="s">
        <v>6</v>
      </c>
      <c r="E314" s="92" t="s">
        <v>1038</v>
      </c>
      <c r="F314" s="92" t="s">
        <v>277</v>
      </c>
      <c r="G314" s="92" t="s">
        <v>278</v>
      </c>
      <c r="H314" s="120" t="str">
        <f>VLOOKUP(LEFT(B314,FIND("-",B314)-1),'MAPPING MD &amp; SKENARIO'!$H$2:$I$42,2,FALSE)</f>
        <v>Azhar</v>
      </c>
      <c r="I314" s="92" t="str">
        <f>VLOOKUP(H314,'MAPPING MD &amp; SKENARIO'!$I$2:$J$42,2,FALSE)</f>
        <v>azhar.azhar@muf.co.id</v>
      </c>
      <c r="J314" s="121">
        <f>VLOOKUP(D314,'MAPPING MD &amp; SKENARIO'!B:D,3,FALSE)</f>
        <v>1.3</v>
      </c>
      <c r="K314" s="121">
        <f t="shared" si="13"/>
        <v>0.65</v>
      </c>
      <c r="L314" s="121">
        <v>1</v>
      </c>
      <c r="M314" s="127">
        <f t="shared" si="10"/>
        <v>3</v>
      </c>
      <c r="R314" s="118"/>
    </row>
    <row r="315" spans="1:18" ht="112.8" customHeight="1">
      <c r="A315" s="80">
        <v>345</v>
      </c>
      <c r="B315" s="120" t="s">
        <v>1050</v>
      </c>
      <c r="C315" s="158"/>
      <c r="D315" s="92" t="s">
        <v>1045</v>
      </c>
      <c r="E315" s="92" t="s">
        <v>1044</v>
      </c>
      <c r="F315" s="92" t="s">
        <v>1046</v>
      </c>
      <c r="G315" s="92" t="s">
        <v>1047</v>
      </c>
      <c r="H315" s="120" t="str">
        <f>VLOOKUP(LEFT(B315,FIND("-",B315)-1),'MAPPING MD &amp; SKENARIO'!$H$2:$I$42,2,FALSE)</f>
        <v>Azhar</v>
      </c>
      <c r="I315" s="92" t="str">
        <f>VLOOKUP(H315,'MAPPING MD &amp; SKENARIO'!$I$2:$J$42,2,FALSE)</f>
        <v>azhar.azhar@muf.co.id</v>
      </c>
      <c r="J315" s="121">
        <f>VLOOKUP(D315,'MAPPING MD &amp; SKENARIO'!B:D,3,FALSE)</f>
        <v>0.65</v>
      </c>
      <c r="K315" s="121">
        <f t="shared" si="13"/>
        <v>0.32500000000000001</v>
      </c>
      <c r="L315" s="121">
        <v>1</v>
      </c>
      <c r="M315" s="127">
        <f t="shared" si="10"/>
        <v>2</v>
      </c>
      <c r="R315" s="118"/>
    </row>
    <row r="316" spans="1:18" ht="112.8" customHeight="1">
      <c r="A316" s="80">
        <v>346</v>
      </c>
      <c r="B316" s="120" t="s">
        <v>1058</v>
      </c>
      <c r="C316" s="159" t="s">
        <v>152</v>
      </c>
      <c r="D316" s="92" t="s">
        <v>1051</v>
      </c>
      <c r="E316" s="92" t="s">
        <v>1052</v>
      </c>
      <c r="F316" s="92" t="s">
        <v>1053</v>
      </c>
      <c r="G316" s="92" t="s">
        <v>1056</v>
      </c>
      <c r="H316" s="120" t="str">
        <f>VLOOKUP(LEFT(B316,FIND("-",B316)-1),'MAPPING MD &amp; SKENARIO'!$H$2:$I$42,2,FALSE)</f>
        <v>Rasya</v>
      </c>
      <c r="I316" s="92" t="str">
        <f>VLOOKUP(H316,'MAPPING MD &amp; SKENARIO'!$I$2:$J$42,2,FALSE)</f>
        <v>rasya.raharjo@muf.co.id</v>
      </c>
      <c r="J316" s="121">
        <f>VLOOKUP(D316,'MAPPING MD &amp; SKENARIO'!B:D,3,FALSE)</f>
        <v>0.39</v>
      </c>
      <c r="K316" s="121">
        <f t="shared" si="13"/>
        <v>0.19500000000000001</v>
      </c>
      <c r="L316" s="121">
        <v>1</v>
      </c>
      <c r="M316" s="127">
        <f t="shared" si="10"/>
        <v>2</v>
      </c>
      <c r="R316" s="118"/>
    </row>
    <row r="317" spans="1:18" ht="112.8" customHeight="1">
      <c r="A317" s="80">
        <v>347</v>
      </c>
      <c r="B317" s="120" t="s">
        <v>1059</v>
      </c>
      <c r="C317" s="160"/>
      <c r="D317" s="92" t="s">
        <v>6</v>
      </c>
      <c r="E317" s="92" t="s">
        <v>1038</v>
      </c>
      <c r="F317" s="92" t="s">
        <v>277</v>
      </c>
      <c r="G317" s="92" t="s">
        <v>278</v>
      </c>
      <c r="H317" s="120" t="str">
        <f>VLOOKUP(LEFT(B317,FIND("-",B317)-1),'MAPPING MD &amp; SKENARIO'!$H$2:$I$42,2,FALSE)</f>
        <v>Rasya</v>
      </c>
      <c r="I317" s="92" t="str">
        <f>VLOOKUP(H317,'MAPPING MD &amp; SKENARIO'!$I$2:$J$42,2,FALSE)</f>
        <v>rasya.raharjo@muf.co.id</v>
      </c>
      <c r="J317" s="121">
        <f>VLOOKUP(D317,'MAPPING MD &amp; SKENARIO'!B:D,3,FALSE)</f>
        <v>1.3</v>
      </c>
      <c r="K317" s="121">
        <f t="shared" si="13"/>
        <v>0.65</v>
      </c>
      <c r="L317" s="121">
        <v>1</v>
      </c>
      <c r="M317" s="127">
        <f t="shared" si="10"/>
        <v>3</v>
      </c>
      <c r="R317" s="118"/>
    </row>
    <row r="318" spans="1:18" ht="112.8" customHeight="1">
      <c r="A318" s="80">
        <v>348</v>
      </c>
      <c r="B318" s="120" t="s">
        <v>1060</v>
      </c>
      <c r="C318" s="161"/>
      <c r="D318" s="92" t="s">
        <v>8</v>
      </c>
      <c r="E318" s="92" t="s">
        <v>1054</v>
      </c>
      <c r="F318" s="92" t="s">
        <v>1055</v>
      </c>
      <c r="G318" s="92" t="s">
        <v>1057</v>
      </c>
      <c r="H318" s="120" t="str">
        <f>VLOOKUP(LEFT(B318,FIND("-",B318)-1),'MAPPING MD &amp; SKENARIO'!$H$2:$I$42,2,FALSE)</f>
        <v>Rasya</v>
      </c>
      <c r="I318" s="92" t="str">
        <f>VLOOKUP(H318,'MAPPING MD &amp; SKENARIO'!$I$2:$J$42,2,FALSE)</f>
        <v>rasya.raharjo@muf.co.id</v>
      </c>
      <c r="J318" s="121">
        <f>VLOOKUP(D318,'MAPPING MD &amp; SKENARIO'!B:D,3,FALSE)</f>
        <v>1.95</v>
      </c>
      <c r="K318" s="121">
        <f t="shared" si="13"/>
        <v>0.97499999999999998</v>
      </c>
      <c r="L318" s="121">
        <v>1</v>
      </c>
      <c r="M318" s="127">
        <f t="shared" si="10"/>
        <v>4</v>
      </c>
      <c r="R318" s="118"/>
    </row>
    <row r="319" spans="1:18" ht="45" customHeight="1">
      <c r="A319" s="80">
        <v>349</v>
      </c>
      <c r="B319" s="120" t="s">
        <v>65</v>
      </c>
      <c r="C319" s="120"/>
      <c r="D319" s="92" t="s">
        <v>700</v>
      </c>
      <c r="E319" s="92" t="s">
        <v>701</v>
      </c>
      <c r="F319" s="92"/>
      <c r="G319" s="92"/>
      <c r="H319" s="120"/>
      <c r="I319" s="92"/>
      <c r="J319" s="121">
        <v>16</v>
      </c>
      <c r="K319" s="121"/>
      <c r="L319" s="121"/>
      <c r="M319" s="127">
        <f t="shared" ref="M319:M320" si="14">SUM(J319:L319)</f>
        <v>16</v>
      </c>
      <c r="R319" s="118"/>
    </row>
    <row r="320" spans="1:18" ht="53.4" customHeight="1" thickBot="1">
      <c r="A320" s="94">
        <v>350</v>
      </c>
      <c r="B320" s="128" t="s">
        <v>66</v>
      </c>
      <c r="C320" s="128"/>
      <c r="D320" s="129" t="s">
        <v>702</v>
      </c>
      <c r="E320" s="129" t="s">
        <v>703</v>
      </c>
      <c r="F320" s="129"/>
      <c r="G320" s="129"/>
      <c r="H320" s="128"/>
      <c r="I320" s="129"/>
      <c r="J320" s="130">
        <v>72</v>
      </c>
      <c r="K320" s="130"/>
      <c r="L320" s="130"/>
      <c r="M320" s="131">
        <f t="shared" si="14"/>
        <v>72</v>
      </c>
      <c r="R320" s="118"/>
    </row>
  </sheetData>
  <mergeCells count="43">
    <mergeCell ref="C131:C142"/>
    <mergeCell ref="C45:C56"/>
    <mergeCell ref="A1:B1"/>
    <mergeCell ref="C4:C15"/>
    <mergeCell ref="C16:C32"/>
    <mergeCell ref="C33:C44"/>
    <mergeCell ref="C57:C68"/>
    <mergeCell ref="C69:C87"/>
    <mergeCell ref="C88:C99"/>
    <mergeCell ref="C100:C111"/>
    <mergeCell ref="C112:C130"/>
    <mergeCell ref="C240:C242"/>
    <mergeCell ref="C243:C245"/>
    <mergeCell ref="C246:C248"/>
    <mergeCell ref="C249:C251"/>
    <mergeCell ref="C143:C154"/>
    <mergeCell ref="C234:C236"/>
    <mergeCell ref="C155:C167"/>
    <mergeCell ref="C168:C178"/>
    <mergeCell ref="C179:C194"/>
    <mergeCell ref="C237:C239"/>
    <mergeCell ref="A2:C2"/>
    <mergeCell ref="C296:C299"/>
    <mergeCell ref="C252:C254"/>
    <mergeCell ref="C255:C256"/>
    <mergeCell ref="C257:C259"/>
    <mergeCell ref="C264:C267"/>
    <mergeCell ref="C268:C272"/>
    <mergeCell ref="C273:C277"/>
    <mergeCell ref="C260:C263"/>
    <mergeCell ref="C291:C295"/>
    <mergeCell ref="C278:C283"/>
    <mergeCell ref="C284:C286"/>
    <mergeCell ref="C287:C290"/>
    <mergeCell ref="C195:C205"/>
    <mergeCell ref="C206:C216"/>
    <mergeCell ref="C217:C233"/>
    <mergeCell ref="C312:C313"/>
    <mergeCell ref="C314:C315"/>
    <mergeCell ref="C316:C318"/>
    <mergeCell ref="C300:C303"/>
    <mergeCell ref="C304:C307"/>
    <mergeCell ref="C308:C311"/>
  </mergeCells>
  <phoneticPr fontId="2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7" tint="0.59999389629810485"/>
  </sheetPr>
  <dimension ref="A1:G316"/>
  <sheetViews>
    <sheetView tabSelected="1" zoomScale="70" zoomScaleNormal="70" workbookViewId="0">
      <selection activeCell="H8" sqref="H8"/>
    </sheetView>
  </sheetViews>
  <sheetFormatPr defaultColWidth="8.88671875" defaultRowHeight="14.4"/>
  <cols>
    <col min="1" max="1" width="6.33203125" style="63" customWidth="1"/>
    <col min="2" max="2" width="12.77734375" style="64" customWidth="1"/>
    <col min="3" max="3" width="10.88671875" style="64" customWidth="1"/>
    <col min="4" max="4" width="11.77734375" style="64" customWidth="1"/>
    <col min="5" max="5" width="11.21875" style="64" customWidth="1"/>
    <col min="6" max="6" width="8.88671875" style="64"/>
    <col min="7" max="7" width="36.109375" style="65" customWidth="1"/>
    <col min="8" max="8" width="99.6640625" style="66" customWidth="1"/>
    <col min="9" max="16384" width="8.88671875" style="66"/>
  </cols>
  <sheetData>
    <row r="1" spans="1:7" ht="28.8">
      <c r="A1" s="67" t="s">
        <v>0</v>
      </c>
      <c r="B1" s="68" t="s">
        <v>704</v>
      </c>
      <c r="C1" s="68" t="s">
        <v>705</v>
      </c>
      <c r="D1" s="68" t="s">
        <v>706</v>
      </c>
      <c r="E1" s="68" t="s">
        <v>707</v>
      </c>
      <c r="F1" s="68" t="s">
        <v>267</v>
      </c>
      <c r="G1" s="69" t="s">
        <v>708</v>
      </c>
    </row>
    <row r="2" spans="1:7">
      <c r="A2" s="63">
        <f>'TEST CASES'!A4</f>
        <v>1</v>
      </c>
      <c r="B2" s="64" t="str">
        <f>'TEST CASES'!B4</f>
        <v>BYD001-01</v>
      </c>
      <c r="C2" s="64">
        <f>IF('TEST CASES'!F4="", 0, LEN(TRIM('TEST CASES'!F4))-LEN(SUBSTITUTE('TEST CASES'!F4, CHAR(10), ""))+1)</f>
        <v>5</v>
      </c>
      <c r="E2" s="64" t="str">
        <f>IF(D2=0,"Open",IF(D2=C2,"Done","InProgress"))</f>
        <v>Open</v>
      </c>
      <c r="F2" s="64" t="str">
        <f>'TEST CASES'!H4</f>
        <v>Azhar</v>
      </c>
    </row>
    <row r="3" spans="1:7">
      <c r="A3" s="63">
        <f>'TEST CASES'!A5</f>
        <v>2</v>
      </c>
      <c r="B3" s="64" t="str">
        <f>'TEST CASES'!B5</f>
        <v>BYD001-02</v>
      </c>
      <c r="C3" s="64">
        <f>IF('TEST CASES'!F5="", 0, LEN(TRIM('TEST CASES'!F5))-LEN(SUBSTITUTE('TEST CASES'!F5, CHAR(10), ""))+1)</f>
        <v>4</v>
      </c>
      <c r="E3" s="64" t="str">
        <f t="shared" ref="E3:E66" si="0">IF(D3=0,"Open",IF(D3=C3,"Done","InProgress"))</f>
        <v>Open</v>
      </c>
      <c r="F3" s="64" t="str">
        <f>'TEST CASES'!H5</f>
        <v>Azhar</v>
      </c>
    </row>
    <row r="4" spans="1:7">
      <c r="A4" s="63">
        <f>'TEST CASES'!A6</f>
        <v>3</v>
      </c>
      <c r="B4" s="64" t="str">
        <f>'TEST CASES'!B6</f>
        <v>BYD001-03</v>
      </c>
      <c r="C4" s="64">
        <f>IF('TEST CASES'!F6="", 0, LEN(TRIM('TEST CASES'!F6))-LEN(SUBSTITUTE('TEST CASES'!F6, CHAR(10), ""))+1)</f>
        <v>3</v>
      </c>
      <c r="E4" s="64" t="str">
        <f t="shared" si="0"/>
        <v>Open</v>
      </c>
      <c r="F4" s="64" t="str">
        <f>'TEST CASES'!H6</f>
        <v>Azhar</v>
      </c>
    </row>
    <row r="5" spans="1:7">
      <c r="A5" s="63">
        <f>'TEST CASES'!A7</f>
        <v>4</v>
      </c>
      <c r="B5" s="64" t="str">
        <f>'TEST CASES'!B7</f>
        <v>BYD001-04</v>
      </c>
      <c r="C5" s="64">
        <f>IF('TEST CASES'!F7="", 0, LEN(TRIM('TEST CASES'!F7))-LEN(SUBSTITUTE('TEST CASES'!F7, CHAR(10), ""))+1)</f>
        <v>7</v>
      </c>
      <c r="E5" s="64" t="str">
        <f t="shared" si="0"/>
        <v>Open</v>
      </c>
      <c r="F5" s="64" t="str">
        <f>'TEST CASES'!H7</f>
        <v>Azhar</v>
      </c>
    </row>
    <row r="6" spans="1:7">
      <c r="A6" s="63">
        <f>'TEST CASES'!A8</f>
        <v>5</v>
      </c>
      <c r="B6" s="64" t="str">
        <f>'TEST CASES'!B8</f>
        <v>BYD001-05</v>
      </c>
      <c r="C6" s="64">
        <f>IF('TEST CASES'!F8="", 0, LEN(TRIM('TEST CASES'!F8))-LEN(SUBSTITUTE('TEST CASES'!F8, CHAR(10), ""))+1)</f>
        <v>10</v>
      </c>
      <c r="E6" s="64" t="str">
        <f t="shared" si="0"/>
        <v>Open</v>
      </c>
      <c r="F6" s="64" t="str">
        <f>'TEST CASES'!H8</f>
        <v>Azhar</v>
      </c>
    </row>
    <row r="7" spans="1:7">
      <c r="A7" s="63">
        <f>'TEST CASES'!A9</f>
        <v>6</v>
      </c>
      <c r="B7" s="64" t="str">
        <f>'TEST CASES'!B9</f>
        <v>BYD001-06</v>
      </c>
      <c r="C7" s="64">
        <f>IF('TEST CASES'!F9="", 0, LEN(TRIM('TEST CASES'!F9))-LEN(SUBSTITUTE('TEST CASES'!F9, CHAR(10), ""))+1)</f>
        <v>9</v>
      </c>
      <c r="E7" s="64" t="str">
        <f t="shared" si="0"/>
        <v>Open</v>
      </c>
      <c r="F7" s="64" t="str">
        <f>'TEST CASES'!H9</f>
        <v>Azhar</v>
      </c>
    </row>
    <row r="8" spans="1:7">
      <c r="A8" s="63">
        <f>'TEST CASES'!A10</f>
        <v>7</v>
      </c>
      <c r="B8" s="64" t="str">
        <f>'TEST CASES'!B10</f>
        <v>BYD001-07</v>
      </c>
      <c r="C8" s="64">
        <f>IF('TEST CASES'!F10="", 0, LEN(TRIM('TEST CASES'!F10))-LEN(SUBSTITUTE('TEST CASES'!F10, CHAR(10), ""))+1)</f>
        <v>5</v>
      </c>
      <c r="E8" s="64" t="str">
        <f t="shared" si="0"/>
        <v>Open</v>
      </c>
      <c r="F8" s="64" t="str">
        <f>'TEST CASES'!H10</f>
        <v>Azhar</v>
      </c>
    </row>
    <row r="9" spans="1:7">
      <c r="A9" s="63">
        <f>'TEST CASES'!A11</f>
        <v>8</v>
      </c>
      <c r="B9" s="64" t="str">
        <f>'TEST CASES'!B11</f>
        <v>BYD001-08</v>
      </c>
      <c r="C9" s="64">
        <f>IF('TEST CASES'!F11="", 0, LEN(TRIM('TEST CASES'!F11))-LEN(SUBSTITUTE('TEST CASES'!F11, CHAR(10), ""))+1)</f>
        <v>4</v>
      </c>
      <c r="E9" s="64" t="str">
        <f t="shared" si="0"/>
        <v>Open</v>
      </c>
      <c r="F9" s="64" t="str">
        <f>'TEST CASES'!H11</f>
        <v>Azhar</v>
      </c>
    </row>
    <row r="10" spans="1:7">
      <c r="A10" s="63">
        <f>'TEST CASES'!A12</f>
        <v>9</v>
      </c>
      <c r="B10" s="64" t="str">
        <f>'TEST CASES'!B12</f>
        <v>BYD001-09</v>
      </c>
      <c r="C10" s="64">
        <f>IF('TEST CASES'!F12="", 0, LEN(TRIM('TEST CASES'!F12))-LEN(SUBSTITUTE('TEST CASES'!F12, CHAR(10), ""))+1)</f>
        <v>6</v>
      </c>
      <c r="E10" s="64" t="str">
        <f t="shared" si="0"/>
        <v>Open</v>
      </c>
      <c r="F10" s="64" t="str">
        <f>'TEST CASES'!H12</f>
        <v>Azhar</v>
      </c>
    </row>
    <row r="11" spans="1:7">
      <c r="A11" s="63">
        <f>'TEST CASES'!A13</f>
        <v>10</v>
      </c>
      <c r="B11" s="64" t="str">
        <f>'TEST CASES'!B13</f>
        <v>BYD001-10</v>
      </c>
      <c r="C11" s="64">
        <f>IF('TEST CASES'!F13="", 0, LEN(TRIM('TEST CASES'!F13))-LEN(SUBSTITUTE('TEST CASES'!F13, CHAR(10), ""))+1)</f>
        <v>7</v>
      </c>
      <c r="E11" s="64" t="str">
        <f t="shared" si="0"/>
        <v>Open</v>
      </c>
      <c r="F11" s="64" t="str">
        <f>'TEST CASES'!H13</f>
        <v>Azhar</v>
      </c>
    </row>
    <row r="12" spans="1:7">
      <c r="A12" s="63">
        <f>'TEST CASES'!A14</f>
        <v>11</v>
      </c>
      <c r="B12" s="64" t="str">
        <f>'TEST CASES'!B14</f>
        <v>BYD001-11</v>
      </c>
      <c r="C12" s="64">
        <f>IF('TEST CASES'!F14="", 0, LEN(TRIM('TEST CASES'!F14))-LEN(SUBSTITUTE('TEST CASES'!F14, CHAR(10), ""))+1)</f>
        <v>2</v>
      </c>
      <c r="E12" s="64" t="str">
        <f t="shared" si="0"/>
        <v>Open</v>
      </c>
      <c r="F12" s="64" t="str">
        <f>'TEST CASES'!H14</f>
        <v>Azhar</v>
      </c>
    </row>
    <row r="13" spans="1:7">
      <c r="A13" s="63">
        <f>'TEST CASES'!A15</f>
        <v>12</v>
      </c>
      <c r="B13" s="64" t="str">
        <f>'TEST CASES'!B15</f>
        <v>BYD001-12</v>
      </c>
      <c r="C13" s="64">
        <f>IF('TEST CASES'!F15="", 0, LEN(TRIM('TEST CASES'!F15))-LEN(SUBSTITUTE('TEST CASES'!F15, CHAR(10), ""))+1)</f>
        <v>3</v>
      </c>
      <c r="E13" s="64" t="str">
        <f t="shared" si="0"/>
        <v>Open</v>
      </c>
      <c r="F13" s="64" t="str">
        <f>'TEST CASES'!H15</f>
        <v>Azhar</v>
      </c>
    </row>
    <row r="14" spans="1:7">
      <c r="A14" s="63">
        <f>'TEST CASES'!A16</f>
        <v>13</v>
      </c>
      <c r="B14" s="64" t="str">
        <f>'TEST CASES'!B16</f>
        <v>BYD002-01</v>
      </c>
      <c r="C14" s="64">
        <f>IF('TEST CASES'!F16="", 0, LEN(TRIM('TEST CASES'!F16))-LEN(SUBSTITUTE('TEST CASES'!F16, CHAR(10), ""))+1)</f>
        <v>5</v>
      </c>
      <c r="E14" s="64" t="str">
        <f t="shared" si="0"/>
        <v>Open</v>
      </c>
      <c r="F14" s="64" t="str">
        <f>'TEST CASES'!H16</f>
        <v>Affinia</v>
      </c>
    </row>
    <row r="15" spans="1:7">
      <c r="A15" s="63">
        <f>'TEST CASES'!A17</f>
        <v>14</v>
      </c>
      <c r="B15" s="64" t="str">
        <f>'TEST CASES'!B17</f>
        <v>BYD002-02</v>
      </c>
      <c r="C15" s="64">
        <f>IF('TEST CASES'!F17="", 0, LEN(TRIM('TEST CASES'!F17))-LEN(SUBSTITUTE('TEST CASES'!F17, CHAR(10), ""))+1)</f>
        <v>4</v>
      </c>
      <c r="E15" s="64" t="str">
        <f t="shared" si="0"/>
        <v>Open</v>
      </c>
      <c r="F15" s="64" t="str">
        <f>'TEST CASES'!H17</f>
        <v>Affinia</v>
      </c>
    </row>
    <row r="16" spans="1:7">
      <c r="A16" s="63">
        <f>'TEST CASES'!A18</f>
        <v>15</v>
      </c>
      <c r="B16" s="64" t="str">
        <f>'TEST CASES'!B18</f>
        <v>BYD002-03</v>
      </c>
      <c r="C16" s="64">
        <f>IF('TEST CASES'!F18="", 0, LEN(TRIM('TEST CASES'!F18))-LEN(SUBSTITUTE('TEST CASES'!F18, CHAR(10), ""))+1)</f>
        <v>3</v>
      </c>
      <c r="E16" s="64" t="str">
        <f t="shared" si="0"/>
        <v>Open</v>
      </c>
      <c r="F16" s="64" t="str">
        <f>'TEST CASES'!H18</f>
        <v>Affinia</v>
      </c>
    </row>
    <row r="17" spans="1:6">
      <c r="A17" s="63">
        <f>'TEST CASES'!A19</f>
        <v>16</v>
      </c>
      <c r="B17" s="64" t="str">
        <f>'TEST CASES'!B19</f>
        <v>BYD002-04</v>
      </c>
      <c r="C17" s="64">
        <f>IF('TEST CASES'!F19="", 0, LEN(TRIM('TEST CASES'!F19))-LEN(SUBSTITUTE('TEST CASES'!F19, CHAR(10), ""))+1)</f>
        <v>7</v>
      </c>
      <c r="E17" s="64" t="str">
        <f t="shared" si="0"/>
        <v>Open</v>
      </c>
      <c r="F17" s="64" t="str">
        <f>'TEST CASES'!H19</f>
        <v>Affinia</v>
      </c>
    </row>
    <row r="18" spans="1:6">
      <c r="A18" s="63">
        <f>'TEST CASES'!A20</f>
        <v>17</v>
      </c>
      <c r="B18" s="64" t="str">
        <f>'TEST CASES'!B20</f>
        <v>BYD002-05</v>
      </c>
      <c r="C18" s="64">
        <f>IF('TEST CASES'!F20="", 0, LEN(TRIM('TEST CASES'!F20))-LEN(SUBSTITUTE('TEST CASES'!F20, CHAR(10), ""))+1)</f>
        <v>10</v>
      </c>
      <c r="E18" s="64" t="str">
        <f t="shared" si="0"/>
        <v>Open</v>
      </c>
      <c r="F18" s="64" t="str">
        <f>'TEST CASES'!H20</f>
        <v>Affinia</v>
      </c>
    </row>
    <row r="19" spans="1:6">
      <c r="A19" s="63">
        <f>'TEST CASES'!A21</f>
        <v>18</v>
      </c>
      <c r="B19" s="64" t="str">
        <f>'TEST CASES'!B21</f>
        <v>BYD002-06</v>
      </c>
      <c r="C19" s="64">
        <f>IF('TEST CASES'!F21="", 0, LEN(TRIM('TEST CASES'!F21))-LEN(SUBSTITUTE('TEST CASES'!F21, CHAR(10), ""))+1)</f>
        <v>9</v>
      </c>
      <c r="E19" s="64" t="str">
        <f t="shared" si="0"/>
        <v>Open</v>
      </c>
      <c r="F19" s="64" t="str">
        <f>'TEST CASES'!H21</f>
        <v>Affinia</v>
      </c>
    </row>
    <row r="20" spans="1:6">
      <c r="A20" s="63">
        <f>'TEST CASES'!A22</f>
        <v>19</v>
      </c>
      <c r="B20" s="64" t="str">
        <f>'TEST CASES'!B22</f>
        <v>BYD002-07</v>
      </c>
      <c r="C20" s="64">
        <f>IF('TEST CASES'!F22="", 0, LEN(TRIM('TEST CASES'!F22))-LEN(SUBSTITUTE('TEST CASES'!F22, CHAR(10), ""))+1)</f>
        <v>6</v>
      </c>
      <c r="E20" s="64" t="str">
        <f t="shared" si="0"/>
        <v>Open</v>
      </c>
      <c r="F20" s="64" t="str">
        <f>'TEST CASES'!H22</f>
        <v>Affinia</v>
      </c>
    </row>
    <row r="21" spans="1:6">
      <c r="A21" s="63">
        <f>'TEST CASES'!A23</f>
        <v>20</v>
      </c>
      <c r="B21" s="64" t="str">
        <f>'TEST CASES'!B23</f>
        <v>BYD002-08</v>
      </c>
      <c r="C21" s="64">
        <f>IF('TEST CASES'!F23="", 0, LEN(TRIM('TEST CASES'!F23))-LEN(SUBSTITUTE('TEST CASES'!F23, CHAR(10), ""))+1)</f>
        <v>4</v>
      </c>
      <c r="E21" s="64" t="str">
        <f t="shared" si="0"/>
        <v>Open</v>
      </c>
      <c r="F21" s="64" t="str">
        <f>'TEST CASES'!H23</f>
        <v>Affinia</v>
      </c>
    </row>
    <row r="22" spans="1:6">
      <c r="A22" s="63">
        <f>'TEST CASES'!A24</f>
        <v>21</v>
      </c>
      <c r="B22" s="64" t="str">
        <f>'TEST CASES'!B24</f>
        <v>BYD002-09</v>
      </c>
      <c r="C22" s="64">
        <f>IF('TEST CASES'!F24="", 0, LEN(TRIM('TEST CASES'!F24))-LEN(SUBSTITUTE('TEST CASES'!F24, CHAR(10), ""))+1)</f>
        <v>5</v>
      </c>
      <c r="E22" s="64" t="str">
        <f t="shared" si="0"/>
        <v>Open</v>
      </c>
      <c r="F22" s="64" t="str">
        <f>'TEST CASES'!H24</f>
        <v>Affinia</v>
      </c>
    </row>
    <row r="23" spans="1:6">
      <c r="A23" s="63">
        <f>'TEST CASES'!A25</f>
        <v>22</v>
      </c>
      <c r="B23" s="64" t="str">
        <f>'TEST CASES'!B25</f>
        <v>BYD002-10</v>
      </c>
      <c r="C23" s="64">
        <f>IF('TEST CASES'!F25="", 0, LEN(TRIM('TEST CASES'!F25))-LEN(SUBSTITUTE('TEST CASES'!F25, CHAR(10), ""))+1)</f>
        <v>3</v>
      </c>
      <c r="E23" s="64" t="str">
        <f t="shared" si="0"/>
        <v>Open</v>
      </c>
      <c r="F23" s="64" t="str">
        <f>'TEST CASES'!H25</f>
        <v>Affinia</v>
      </c>
    </row>
    <row r="24" spans="1:6">
      <c r="A24" s="63">
        <f>'TEST CASES'!A26</f>
        <v>23</v>
      </c>
      <c r="B24" s="64" t="str">
        <f>'TEST CASES'!B26</f>
        <v>BYD002-11</v>
      </c>
      <c r="C24" s="64">
        <f>IF('TEST CASES'!F26="", 0, LEN(TRIM('TEST CASES'!F26))-LEN(SUBSTITUTE('TEST CASES'!F26, CHAR(10), ""))+1)</f>
        <v>4</v>
      </c>
      <c r="E24" s="64" t="str">
        <f t="shared" si="0"/>
        <v>Open</v>
      </c>
      <c r="F24" s="64" t="str">
        <f>'TEST CASES'!H26</f>
        <v>Affinia</v>
      </c>
    </row>
    <row r="25" spans="1:6">
      <c r="A25" s="63">
        <f>'TEST CASES'!A27</f>
        <v>24</v>
      </c>
      <c r="B25" s="64" t="str">
        <f>'TEST CASES'!B27</f>
        <v>BYD002-12</v>
      </c>
      <c r="C25" s="64">
        <f>IF('TEST CASES'!F27="", 0, LEN(TRIM('TEST CASES'!F27))-LEN(SUBSTITUTE('TEST CASES'!F27, CHAR(10), ""))+1)</f>
        <v>5</v>
      </c>
      <c r="E25" s="64" t="str">
        <f t="shared" si="0"/>
        <v>Open</v>
      </c>
      <c r="F25" s="64" t="str">
        <f>'TEST CASES'!H27</f>
        <v>Affinia</v>
      </c>
    </row>
    <row r="26" spans="1:6">
      <c r="A26" s="63">
        <f>'TEST CASES'!A28</f>
        <v>25</v>
      </c>
      <c r="B26" s="64" t="str">
        <f>'TEST CASES'!B28</f>
        <v>BYD002-13</v>
      </c>
      <c r="C26" s="64">
        <f>IF('TEST CASES'!F28="", 0, LEN(TRIM('TEST CASES'!F28))-LEN(SUBSTITUTE('TEST CASES'!F28, CHAR(10), ""))+1)</f>
        <v>4</v>
      </c>
      <c r="E26" s="64" t="str">
        <f t="shared" si="0"/>
        <v>Open</v>
      </c>
      <c r="F26" s="64" t="str">
        <f>'TEST CASES'!H28</f>
        <v>Affinia</v>
      </c>
    </row>
    <row r="27" spans="1:6">
      <c r="A27" s="63">
        <f>'TEST CASES'!A29</f>
        <v>26</v>
      </c>
      <c r="B27" s="64" t="str">
        <f>'TEST CASES'!B29</f>
        <v>BYD002-14</v>
      </c>
      <c r="C27" s="64">
        <f>IF('TEST CASES'!F29="", 0, LEN(TRIM('TEST CASES'!F29))-LEN(SUBSTITUTE('TEST CASES'!F29, CHAR(10), ""))+1)</f>
        <v>6</v>
      </c>
      <c r="E27" s="64" t="str">
        <f t="shared" si="0"/>
        <v>Open</v>
      </c>
      <c r="F27" s="64" t="str">
        <f>'TEST CASES'!H29</f>
        <v>Affinia</v>
      </c>
    </row>
    <row r="28" spans="1:6">
      <c r="A28" s="63">
        <f>'TEST CASES'!A30</f>
        <v>27</v>
      </c>
      <c r="B28" s="64" t="str">
        <f>'TEST CASES'!B30</f>
        <v>BYD002-15</v>
      </c>
      <c r="C28" s="64">
        <f>IF('TEST CASES'!F30="", 0, LEN(TRIM('TEST CASES'!F30))-LEN(SUBSTITUTE('TEST CASES'!F30, CHAR(10), ""))+1)</f>
        <v>7</v>
      </c>
      <c r="E28" s="64" t="str">
        <f t="shared" si="0"/>
        <v>Open</v>
      </c>
      <c r="F28" s="64" t="str">
        <f>'TEST CASES'!H30</f>
        <v>Affinia</v>
      </c>
    </row>
    <row r="29" spans="1:6">
      <c r="A29" s="63">
        <f>'TEST CASES'!A31</f>
        <v>28</v>
      </c>
      <c r="B29" s="64" t="str">
        <f>'TEST CASES'!B31</f>
        <v>BYD002-16</v>
      </c>
      <c r="C29" s="64">
        <f>IF('TEST CASES'!F31="", 0, LEN(TRIM('TEST CASES'!F31))-LEN(SUBSTITUTE('TEST CASES'!F31, CHAR(10), ""))+1)</f>
        <v>2</v>
      </c>
      <c r="E29" s="64" t="str">
        <f t="shared" si="0"/>
        <v>Open</v>
      </c>
      <c r="F29" s="64" t="str">
        <f>'TEST CASES'!H31</f>
        <v>Affinia</v>
      </c>
    </row>
    <row r="30" spans="1:6">
      <c r="A30" s="63">
        <f>'TEST CASES'!A32</f>
        <v>29</v>
      </c>
      <c r="B30" s="64" t="str">
        <f>'TEST CASES'!B32</f>
        <v>BYD002-17</v>
      </c>
      <c r="C30" s="64">
        <f>IF('TEST CASES'!F32="", 0, LEN(TRIM('TEST CASES'!F32))-LEN(SUBSTITUTE('TEST CASES'!F32, CHAR(10), ""))+1)</f>
        <v>3</v>
      </c>
      <c r="E30" s="64" t="str">
        <f t="shared" si="0"/>
        <v>Open</v>
      </c>
      <c r="F30" s="64" t="str">
        <f>'TEST CASES'!H32</f>
        <v>Affinia</v>
      </c>
    </row>
    <row r="31" spans="1:6">
      <c r="A31" s="63">
        <f>'TEST CASES'!A33</f>
        <v>30</v>
      </c>
      <c r="B31" s="64" t="str">
        <f>'TEST CASES'!B33</f>
        <v>BYD003-01</v>
      </c>
      <c r="C31" s="64">
        <f>IF('TEST CASES'!F33="", 0, LEN(TRIM('TEST CASES'!F33))-LEN(SUBSTITUTE('TEST CASES'!F33, CHAR(10), ""))+1)</f>
        <v>5</v>
      </c>
      <c r="E31" s="64" t="str">
        <f t="shared" si="0"/>
        <v>Open</v>
      </c>
      <c r="F31" s="64" t="str">
        <f>'TEST CASES'!H33</f>
        <v>Kevin</v>
      </c>
    </row>
    <row r="32" spans="1:6">
      <c r="A32" s="63">
        <f>'TEST CASES'!A34</f>
        <v>31</v>
      </c>
      <c r="B32" s="64" t="str">
        <f>'TEST CASES'!B34</f>
        <v>BYD003-02</v>
      </c>
      <c r="C32" s="64">
        <f>IF('TEST CASES'!F34="", 0, LEN(TRIM('TEST CASES'!F34))-LEN(SUBSTITUTE('TEST CASES'!F34, CHAR(10), ""))+1)</f>
        <v>4</v>
      </c>
      <c r="E32" s="64" t="str">
        <f t="shared" si="0"/>
        <v>Open</v>
      </c>
      <c r="F32" s="64" t="str">
        <f>'TEST CASES'!H34</f>
        <v>Kevin</v>
      </c>
    </row>
    <row r="33" spans="1:6">
      <c r="A33" s="63">
        <f>'TEST CASES'!A35</f>
        <v>32</v>
      </c>
      <c r="B33" s="64" t="str">
        <f>'TEST CASES'!B35</f>
        <v>BYD003-03</v>
      </c>
      <c r="C33" s="64">
        <f>IF('TEST CASES'!F35="", 0, LEN(TRIM('TEST CASES'!F35))-LEN(SUBSTITUTE('TEST CASES'!F35, CHAR(10), ""))+1)</f>
        <v>3</v>
      </c>
      <c r="E33" s="64" t="str">
        <f t="shared" si="0"/>
        <v>Open</v>
      </c>
      <c r="F33" s="64" t="str">
        <f>'TEST CASES'!H35</f>
        <v>Kevin</v>
      </c>
    </row>
    <row r="34" spans="1:6">
      <c r="A34" s="63">
        <f>'TEST CASES'!A36</f>
        <v>33</v>
      </c>
      <c r="B34" s="64" t="str">
        <f>'TEST CASES'!B36</f>
        <v>BYD003-04</v>
      </c>
      <c r="C34" s="64">
        <f>IF('TEST CASES'!F36="", 0, LEN(TRIM('TEST CASES'!F36))-LEN(SUBSTITUTE('TEST CASES'!F36, CHAR(10), ""))+1)</f>
        <v>7</v>
      </c>
      <c r="E34" s="64" t="str">
        <f t="shared" si="0"/>
        <v>Open</v>
      </c>
      <c r="F34" s="64" t="str">
        <f>'TEST CASES'!H36</f>
        <v>Kevin</v>
      </c>
    </row>
    <row r="35" spans="1:6">
      <c r="A35" s="63">
        <f>'TEST CASES'!A37</f>
        <v>34</v>
      </c>
      <c r="B35" s="64" t="str">
        <f>'TEST CASES'!B37</f>
        <v>BYD003-05</v>
      </c>
      <c r="C35" s="64">
        <f>IF('TEST CASES'!F37="", 0, LEN(TRIM('TEST CASES'!F37))-LEN(SUBSTITUTE('TEST CASES'!F37, CHAR(10), ""))+1)</f>
        <v>10</v>
      </c>
      <c r="E35" s="64" t="str">
        <f t="shared" si="0"/>
        <v>Open</v>
      </c>
      <c r="F35" s="64" t="str">
        <f>'TEST CASES'!H37</f>
        <v>Kevin</v>
      </c>
    </row>
    <row r="36" spans="1:6">
      <c r="A36" s="63">
        <f>'TEST CASES'!A38</f>
        <v>35</v>
      </c>
      <c r="B36" s="64" t="str">
        <f>'TEST CASES'!B38</f>
        <v>BYD003-06</v>
      </c>
      <c r="C36" s="64">
        <f>IF('TEST CASES'!F38="", 0, LEN(TRIM('TEST CASES'!F38))-LEN(SUBSTITUTE('TEST CASES'!F38, CHAR(10), ""))+1)</f>
        <v>9</v>
      </c>
      <c r="E36" s="64" t="str">
        <f t="shared" si="0"/>
        <v>Open</v>
      </c>
      <c r="F36" s="64" t="str">
        <f>'TEST CASES'!H38</f>
        <v>Kevin</v>
      </c>
    </row>
    <row r="37" spans="1:6">
      <c r="A37" s="63">
        <f>'TEST CASES'!A39</f>
        <v>36</v>
      </c>
      <c r="B37" s="64" t="str">
        <f>'TEST CASES'!B39</f>
        <v>BYD003-07</v>
      </c>
      <c r="C37" s="64">
        <f>IF('TEST CASES'!F39="", 0, LEN(TRIM('TEST CASES'!F39))-LEN(SUBSTITUTE('TEST CASES'!F39, CHAR(10), ""))+1)</f>
        <v>5</v>
      </c>
      <c r="E37" s="64" t="str">
        <f t="shared" si="0"/>
        <v>Open</v>
      </c>
      <c r="F37" s="64" t="str">
        <f>'TEST CASES'!H39</f>
        <v>Kevin</v>
      </c>
    </row>
    <row r="38" spans="1:6">
      <c r="A38" s="63">
        <f>'TEST CASES'!A40</f>
        <v>37</v>
      </c>
      <c r="B38" s="64" t="str">
        <f>'TEST CASES'!B40</f>
        <v>BYD003-08</v>
      </c>
      <c r="C38" s="64">
        <f>IF('TEST CASES'!F40="", 0, LEN(TRIM('TEST CASES'!F40))-LEN(SUBSTITUTE('TEST CASES'!F40, CHAR(10), ""))+1)</f>
        <v>4</v>
      </c>
      <c r="E38" s="64" t="str">
        <f t="shared" si="0"/>
        <v>Open</v>
      </c>
      <c r="F38" s="64" t="str">
        <f>'TEST CASES'!H40</f>
        <v>Kevin</v>
      </c>
    </row>
    <row r="39" spans="1:6">
      <c r="A39" s="63">
        <f>'TEST CASES'!A41</f>
        <v>38</v>
      </c>
      <c r="B39" s="64" t="str">
        <f>'TEST CASES'!B41</f>
        <v>BYD003-09</v>
      </c>
      <c r="C39" s="64">
        <f>IF('TEST CASES'!F41="", 0, LEN(TRIM('TEST CASES'!F41))-LEN(SUBSTITUTE('TEST CASES'!F41, CHAR(10), ""))+1)</f>
        <v>6</v>
      </c>
      <c r="E39" s="64" t="str">
        <f t="shared" si="0"/>
        <v>Open</v>
      </c>
      <c r="F39" s="64" t="str">
        <f>'TEST CASES'!H41</f>
        <v>Kevin</v>
      </c>
    </row>
    <row r="40" spans="1:6">
      <c r="A40" s="63">
        <f>'TEST CASES'!A42</f>
        <v>39</v>
      </c>
      <c r="B40" s="64" t="str">
        <f>'TEST CASES'!B42</f>
        <v>BYD003-10</v>
      </c>
      <c r="C40" s="64">
        <f>IF('TEST CASES'!F42="", 0, LEN(TRIM('TEST CASES'!F42))-LEN(SUBSTITUTE('TEST CASES'!F42, CHAR(10), ""))+1)</f>
        <v>7</v>
      </c>
      <c r="E40" s="64" t="str">
        <f t="shared" si="0"/>
        <v>Open</v>
      </c>
      <c r="F40" s="64" t="str">
        <f>'TEST CASES'!H42</f>
        <v>Kevin</v>
      </c>
    </row>
    <row r="41" spans="1:6">
      <c r="A41" s="63">
        <f>'TEST CASES'!A43</f>
        <v>40</v>
      </c>
      <c r="B41" s="64" t="str">
        <f>'TEST CASES'!B43</f>
        <v>BYD003-11</v>
      </c>
      <c r="C41" s="64">
        <f>IF('TEST CASES'!F43="", 0, LEN(TRIM('TEST CASES'!F43))-LEN(SUBSTITUTE('TEST CASES'!F43, CHAR(10), ""))+1)</f>
        <v>2</v>
      </c>
      <c r="E41" s="64" t="str">
        <f t="shared" si="0"/>
        <v>Open</v>
      </c>
      <c r="F41" s="64" t="str">
        <f>'TEST CASES'!H43</f>
        <v>Kevin</v>
      </c>
    </row>
    <row r="42" spans="1:6">
      <c r="A42" s="63">
        <f>'TEST CASES'!A44</f>
        <v>41</v>
      </c>
      <c r="B42" s="64" t="str">
        <f>'TEST CASES'!B44</f>
        <v>BYD003-12</v>
      </c>
      <c r="C42" s="64">
        <f>IF('TEST CASES'!F44="", 0, LEN(TRIM('TEST CASES'!F44))-LEN(SUBSTITUTE('TEST CASES'!F44, CHAR(10), ""))+1)</f>
        <v>3</v>
      </c>
      <c r="E42" s="64" t="str">
        <f t="shared" si="0"/>
        <v>Open</v>
      </c>
      <c r="F42" s="64" t="str">
        <f>'TEST CASES'!H44</f>
        <v>Kevin</v>
      </c>
    </row>
    <row r="43" spans="1:6">
      <c r="A43" s="63">
        <f>'TEST CASES'!A45</f>
        <v>42</v>
      </c>
      <c r="B43" s="64" t="str">
        <f>'TEST CASES'!B45</f>
        <v>BYD004-01</v>
      </c>
      <c r="C43" s="64">
        <f>IF('TEST CASES'!F45="", 0, LEN(TRIM('TEST CASES'!F45))-LEN(SUBSTITUTE('TEST CASES'!F45, CHAR(10), ""))+1)</f>
        <v>5</v>
      </c>
      <c r="E43" s="64" t="str">
        <f t="shared" si="0"/>
        <v>Open</v>
      </c>
      <c r="F43" s="64" t="str">
        <f>'TEST CASES'!H45</f>
        <v>Rasya</v>
      </c>
    </row>
    <row r="44" spans="1:6">
      <c r="A44" s="63">
        <f>'TEST CASES'!A46</f>
        <v>43</v>
      </c>
      <c r="B44" s="64" t="str">
        <f>'TEST CASES'!B46</f>
        <v>BYD004-02</v>
      </c>
      <c r="C44" s="64">
        <f>IF('TEST CASES'!F46="", 0, LEN(TRIM('TEST CASES'!F46))-LEN(SUBSTITUTE('TEST CASES'!F46, CHAR(10), ""))+1)</f>
        <v>4</v>
      </c>
      <c r="E44" s="64" t="str">
        <f t="shared" si="0"/>
        <v>Open</v>
      </c>
      <c r="F44" s="64" t="str">
        <f>'TEST CASES'!H46</f>
        <v>Rasya</v>
      </c>
    </row>
    <row r="45" spans="1:6">
      <c r="A45" s="63">
        <f>'TEST CASES'!A47</f>
        <v>44</v>
      </c>
      <c r="B45" s="64" t="str">
        <f>'TEST CASES'!B47</f>
        <v>BYD004-03</v>
      </c>
      <c r="C45" s="64">
        <f>IF('TEST CASES'!F47="", 0, LEN(TRIM('TEST CASES'!F47))-LEN(SUBSTITUTE('TEST CASES'!F47, CHAR(10), ""))+1)</f>
        <v>3</v>
      </c>
      <c r="E45" s="64" t="str">
        <f t="shared" si="0"/>
        <v>Open</v>
      </c>
      <c r="F45" s="64" t="str">
        <f>'TEST CASES'!H47</f>
        <v>Rasya</v>
      </c>
    </row>
    <row r="46" spans="1:6">
      <c r="A46" s="63">
        <f>'TEST CASES'!A48</f>
        <v>45</v>
      </c>
      <c r="B46" s="64" t="str">
        <f>'TEST CASES'!B48</f>
        <v>BYD004-04</v>
      </c>
      <c r="C46" s="64">
        <f>IF('TEST CASES'!F48="", 0, LEN(TRIM('TEST CASES'!F48))-LEN(SUBSTITUTE('TEST CASES'!F48, CHAR(10), ""))+1)</f>
        <v>7</v>
      </c>
      <c r="E46" s="64" t="str">
        <f t="shared" si="0"/>
        <v>Open</v>
      </c>
      <c r="F46" s="64" t="str">
        <f>'TEST CASES'!H48</f>
        <v>Rasya</v>
      </c>
    </row>
    <row r="47" spans="1:6">
      <c r="A47" s="63">
        <f>'TEST CASES'!A49</f>
        <v>46</v>
      </c>
      <c r="B47" s="64" t="str">
        <f>'TEST CASES'!B49</f>
        <v>BYD004-05</v>
      </c>
      <c r="C47" s="64">
        <f>IF('TEST CASES'!F49="", 0, LEN(TRIM('TEST CASES'!F49))-LEN(SUBSTITUTE('TEST CASES'!F49, CHAR(10), ""))+1)</f>
        <v>10</v>
      </c>
      <c r="E47" s="64" t="str">
        <f t="shared" si="0"/>
        <v>Open</v>
      </c>
      <c r="F47" s="64" t="str">
        <f>'TEST CASES'!H49</f>
        <v>Rasya</v>
      </c>
    </row>
    <row r="48" spans="1:6">
      <c r="A48" s="63">
        <f>'TEST CASES'!A50</f>
        <v>47</v>
      </c>
      <c r="B48" s="64" t="str">
        <f>'TEST CASES'!B50</f>
        <v>BYD004-06</v>
      </c>
      <c r="C48" s="64">
        <f>IF('TEST CASES'!F50="", 0, LEN(TRIM('TEST CASES'!F50))-LEN(SUBSTITUTE('TEST CASES'!F50, CHAR(10), ""))+1)</f>
        <v>9</v>
      </c>
      <c r="E48" s="64" t="str">
        <f t="shared" si="0"/>
        <v>Open</v>
      </c>
      <c r="F48" s="64" t="str">
        <f>'TEST CASES'!H50</f>
        <v>Rasya</v>
      </c>
    </row>
    <row r="49" spans="1:6">
      <c r="A49" s="63">
        <f>'TEST CASES'!A51</f>
        <v>48</v>
      </c>
      <c r="B49" s="64" t="str">
        <f>'TEST CASES'!B51</f>
        <v>BYD004-07</v>
      </c>
      <c r="C49" s="64">
        <f>IF('TEST CASES'!F51="", 0, LEN(TRIM('TEST CASES'!F51))-LEN(SUBSTITUTE('TEST CASES'!F51, CHAR(10), ""))+1)</f>
        <v>6</v>
      </c>
      <c r="E49" s="64" t="str">
        <f t="shared" si="0"/>
        <v>Open</v>
      </c>
      <c r="F49" s="64" t="str">
        <f>'TEST CASES'!H51</f>
        <v>Rasya</v>
      </c>
    </row>
    <row r="50" spans="1:6">
      <c r="A50" s="63">
        <f>'TEST CASES'!A52</f>
        <v>49</v>
      </c>
      <c r="B50" s="64" t="str">
        <f>'TEST CASES'!B52</f>
        <v>BYD004-08</v>
      </c>
      <c r="C50" s="64">
        <f>IF('TEST CASES'!F52="", 0, LEN(TRIM('TEST CASES'!F52))-LEN(SUBSTITUTE('TEST CASES'!F52, CHAR(10), ""))+1)</f>
        <v>4</v>
      </c>
      <c r="E50" s="64" t="str">
        <f t="shared" si="0"/>
        <v>Open</v>
      </c>
      <c r="F50" s="64" t="str">
        <f>'TEST CASES'!H52</f>
        <v>Rasya</v>
      </c>
    </row>
    <row r="51" spans="1:6">
      <c r="A51" s="63">
        <f>'TEST CASES'!A53</f>
        <v>50</v>
      </c>
      <c r="B51" s="64" t="str">
        <f>'TEST CASES'!B53</f>
        <v>BYD004-09</v>
      </c>
      <c r="C51" s="64">
        <f>IF('TEST CASES'!F53="", 0, LEN(TRIM('TEST CASES'!F53))-LEN(SUBSTITUTE('TEST CASES'!F53, CHAR(10), ""))+1)</f>
        <v>6</v>
      </c>
      <c r="E51" s="64" t="str">
        <f t="shared" si="0"/>
        <v>Open</v>
      </c>
      <c r="F51" s="64" t="str">
        <f>'TEST CASES'!H53</f>
        <v>Rasya</v>
      </c>
    </row>
    <row r="52" spans="1:6">
      <c r="A52" s="63">
        <f>'TEST CASES'!A54</f>
        <v>51</v>
      </c>
      <c r="B52" s="64" t="str">
        <f>'TEST CASES'!B54</f>
        <v>BYD004-10</v>
      </c>
      <c r="C52" s="64">
        <f>IF('TEST CASES'!F54="", 0, LEN(TRIM('TEST CASES'!F54))-LEN(SUBSTITUTE('TEST CASES'!F54, CHAR(10), ""))+1)</f>
        <v>7</v>
      </c>
      <c r="E52" s="64" t="str">
        <f t="shared" si="0"/>
        <v>Open</v>
      </c>
      <c r="F52" s="64" t="str">
        <f>'TEST CASES'!H54</f>
        <v>Rasya</v>
      </c>
    </row>
    <row r="53" spans="1:6">
      <c r="A53" s="63">
        <f>'TEST CASES'!A55</f>
        <v>52</v>
      </c>
      <c r="B53" s="64" t="str">
        <f>'TEST CASES'!B55</f>
        <v>BYD004-11</v>
      </c>
      <c r="C53" s="64">
        <f>IF('TEST CASES'!F55="", 0, LEN(TRIM('TEST CASES'!F55))-LEN(SUBSTITUTE('TEST CASES'!F55, CHAR(10), ""))+1)</f>
        <v>2</v>
      </c>
      <c r="E53" s="64" t="str">
        <f t="shared" si="0"/>
        <v>Open</v>
      </c>
      <c r="F53" s="64" t="str">
        <f>'TEST CASES'!H55</f>
        <v>Rasya</v>
      </c>
    </row>
    <row r="54" spans="1:6">
      <c r="A54" s="63">
        <f>'TEST CASES'!A56</f>
        <v>53</v>
      </c>
      <c r="B54" s="64" t="str">
        <f>'TEST CASES'!B56</f>
        <v>BYD004-12</v>
      </c>
      <c r="C54" s="64">
        <f>IF('TEST CASES'!F56="", 0, LEN(TRIM('TEST CASES'!F56))-LEN(SUBSTITUTE('TEST CASES'!F56, CHAR(10), ""))+1)</f>
        <v>3</v>
      </c>
      <c r="E54" s="64" t="str">
        <f t="shared" si="0"/>
        <v>Open</v>
      </c>
      <c r="F54" s="64" t="str">
        <f>'TEST CASES'!H56</f>
        <v>Rasya</v>
      </c>
    </row>
    <row r="55" spans="1:6">
      <c r="A55" s="63">
        <f>'TEST CASES'!A57</f>
        <v>54</v>
      </c>
      <c r="B55" s="64" t="str">
        <f>'TEST CASES'!B57</f>
        <v>BYD005-01</v>
      </c>
      <c r="C55" s="64">
        <f>IF('TEST CASES'!F57="", 0, LEN(TRIM('TEST CASES'!F57))-LEN(SUBSTITUTE('TEST CASES'!F57, CHAR(10), ""))+1)</f>
        <v>5</v>
      </c>
      <c r="E55" s="64" t="str">
        <f t="shared" si="0"/>
        <v>Open</v>
      </c>
      <c r="F55" s="64" t="str">
        <f>'TEST CASES'!H57</f>
        <v>Azhar</v>
      </c>
    </row>
    <row r="56" spans="1:6">
      <c r="A56" s="63">
        <f>'TEST CASES'!A58</f>
        <v>55</v>
      </c>
      <c r="B56" s="64" t="str">
        <f>'TEST CASES'!B58</f>
        <v>BYD005-02</v>
      </c>
      <c r="C56" s="64">
        <f>IF('TEST CASES'!F58="", 0, LEN(TRIM('TEST CASES'!F58))-LEN(SUBSTITUTE('TEST CASES'!F58, CHAR(10), ""))+1)</f>
        <v>4</v>
      </c>
      <c r="E56" s="64" t="str">
        <f t="shared" si="0"/>
        <v>Open</v>
      </c>
      <c r="F56" s="64" t="str">
        <f>'TEST CASES'!H58</f>
        <v>Azhar</v>
      </c>
    </row>
    <row r="57" spans="1:6">
      <c r="A57" s="63">
        <f>'TEST CASES'!A59</f>
        <v>56</v>
      </c>
      <c r="B57" s="64" t="str">
        <f>'TEST CASES'!B59</f>
        <v>BYD005-03</v>
      </c>
      <c r="C57" s="64">
        <f>IF('TEST CASES'!F59="", 0, LEN(TRIM('TEST CASES'!F59))-LEN(SUBSTITUTE('TEST CASES'!F59, CHAR(10), ""))+1)</f>
        <v>3</v>
      </c>
      <c r="E57" s="64" t="str">
        <f t="shared" si="0"/>
        <v>Open</v>
      </c>
      <c r="F57" s="64" t="str">
        <f>'TEST CASES'!H59</f>
        <v>Azhar</v>
      </c>
    </row>
    <row r="58" spans="1:6">
      <c r="A58" s="63">
        <f>'TEST CASES'!A60</f>
        <v>57</v>
      </c>
      <c r="B58" s="64" t="str">
        <f>'TEST CASES'!B60</f>
        <v>BYD005-04</v>
      </c>
      <c r="C58" s="64">
        <f>IF('TEST CASES'!F60="", 0, LEN(TRIM('TEST CASES'!F60))-LEN(SUBSTITUTE('TEST CASES'!F60, CHAR(10), ""))+1)</f>
        <v>7</v>
      </c>
      <c r="E58" s="64" t="str">
        <f t="shared" si="0"/>
        <v>Open</v>
      </c>
      <c r="F58" s="64" t="str">
        <f>'TEST CASES'!H60</f>
        <v>Azhar</v>
      </c>
    </row>
    <row r="59" spans="1:6">
      <c r="A59" s="63">
        <f>'TEST CASES'!A61</f>
        <v>58</v>
      </c>
      <c r="B59" s="64" t="str">
        <f>'TEST CASES'!B61</f>
        <v>BYD005-05</v>
      </c>
      <c r="C59" s="64">
        <f>IF('TEST CASES'!F61="", 0, LEN(TRIM('TEST CASES'!F61))-LEN(SUBSTITUTE('TEST CASES'!F61, CHAR(10), ""))+1)</f>
        <v>10</v>
      </c>
      <c r="E59" s="64" t="str">
        <f t="shared" si="0"/>
        <v>Open</v>
      </c>
      <c r="F59" s="64" t="str">
        <f>'TEST CASES'!H61</f>
        <v>Azhar</v>
      </c>
    </row>
    <row r="60" spans="1:6">
      <c r="A60" s="63">
        <f>'TEST CASES'!A62</f>
        <v>59</v>
      </c>
      <c r="B60" s="64" t="str">
        <f>'TEST CASES'!B62</f>
        <v>BYD005-06</v>
      </c>
      <c r="C60" s="64">
        <f>IF('TEST CASES'!F62="", 0, LEN(TRIM('TEST CASES'!F62))-LEN(SUBSTITUTE('TEST CASES'!F62, CHAR(10), ""))+1)</f>
        <v>9</v>
      </c>
      <c r="E60" s="64" t="str">
        <f t="shared" si="0"/>
        <v>Open</v>
      </c>
      <c r="F60" s="64" t="str">
        <f>'TEST CASES'!H62</f>
        <v>Azhar</v>
      </c>
    </row>
    <row r="61" spans="1:6">
      <c r="A61" s="63">
        <f>'TEST CASES'!A63</f>
        <v>60</v>
      </c>
      <c r="B61" s="64" t="str">
        <f>'TEST CASES'!B63</f>
        <v>BYD005-07</v>
      </c>
      <c r="C61" s="64">
        <f>IF('TEST CASES'!F63="", 0, LEN(TRIM('TEST CASES'!F63))-LEN(SUBSTITUTE('TEST CASES'!F63, CHAR(10), ""))+1)</f>
        <v>5</v>
      </c>
      <c r="E61" s="64" t="str">
        <f t="shared" si="0"/>
        <v>Open</v>
      </c>
      <c r="F61" s="64" t="str">
        <f>'TEST CASES'!H63</f>
        <v>Azhar</v>
      </c>
    </row>
    <row r="62" spans="1:6">
      <c r="A62" s="63">
        <f>'TEST CASES'!A64</f>
        <v>61</v>
      </c>
      <c r="B62" s="64" t="str">
        <f>'TEST CASES'!B64</f>
        <v>BYD005-08</v>
      </c>
      <c r="C62" s="64">
        <f>IF('TEST CASES'!F64="", 0, LEN(TRIM('TEST CASES'!F64))-LEN(SUBSTITUTE('TEST CASES'!F64, CHAR(10), ""))+1)</f>
        <v>4</v>
      </c>
      <c r="E62" s="64" t="str">
        <f t="shared" si="0"/>
        <v>Open</v>
      </c>
      <c r="F62" s="64" t="str">
        <f>'TEST CASES'!H64</f>
        <v>Azhar</v>
      </c>
    </row>
    <row r="63" spans="1:6">
      <c r="A63" s="63">
        <f>'TEST CASES'!A65</f>
        <v>62</v>
      </c>
      <c r="B63" s="64" t="str">
        <f>'TEST CASES'!B65</f>
        <v>BYD005-09</v>
      </c>
      <c r="C63" s="64">
        <f>IF('TEST CASES'!F65="", 0, LEN(TRIM('TEST CASES'!F65))-LEN(SUBSTITUTE('TEST CASES'!F65, CHAR(10), ""))+1)</f>
        <v>6</v>
      </c>
      <c r="E63" s="64" t="str">
        <f t="shared" si="0"/>
        <v>Open</v>
      </c>
      <c r="F63" s="64" t="str">
        <f>'TEST CASES'!H65</f>
        <v>Azhar</v>
      </c>
    </row>
    <row r="64" spans="1:6">
      <c r="A64" s="63">
        <f>'TEST CASES'!A66</f>
        <v>63</v>
      </c>
      <c r="B64" s="64" t="str">
        <f>'TEST CASES'!B66</f>
        <v>BYD005-10</v>
      </c>
      <c r="C64" s="64">
        <f>IF('TEST CASES'!F66="", 0, LEN(TRIM('TEST CASES'!F66))-LEN(SUBSTITUTE('TEST CASES'!F66, CHAR(10), ""))+1)</f>
        <v>7</v>
      </c>
      <c r="E64" s="64" t="str">
        <f t="shared" si="0"/>
        <v>Open</v>
      </c>
      <c r="F64" s="64" t="str">
        <f>'TEST CASES'!H66</f>
        <v>Azhar</v>
      </c>
    </row>
    <row r="65" spans="1:6">
      <c r="A65" s="63">
        <f>'TEST CASES'!A67</f>
        <v>64</v>
      </c>
      <c r="B65" s="64" t="str">
        <f>'TEST CASES'!B67</f>
        <v>BYD005-11</v>
      </c>
      <c r="C65" s="64">
        <f>IF('TEST CASES'!F67="", 0, LEN(TRIM('TEST CASES'!F67))-LEN(SUBSTITUTE('TEST CASES'!F67, CHAR(10), ""))+1)</f>
        <v>2</v>
      </c>
      <c r="E65" s="64" t="str">
        <f t="shared" si="0"/>
        <v>Open</v>
      </c>
      <c r="F65" s="64" t="str">
        <f>'TEST CASES'!H67</f>
        <v>Azhar</v>
      </c>
    </row>
    <row r="66" spans="1:6">
      <c r="A66" s="63">
        <f>'TEST CASES'!A68</f>
        <v>65</v>
      </c>
      <c r="B66" s="64" t="str">
        <f>'TEST CASES'!B68</f>
        <v>BYD005-12</v>
      </c>
      <c r="C66" s="64">
        <f>IF('TEST CASES'!F68="", 0, LEN(TRIM('TEST CASES'!F68))-LEN(SUBSTITUTE('TEST CASES'!F68, CHAR(10), ""))+1)</f>
        <v>3</v>
      </c>
      <c r="E66" s="64" t="str">
        <f t="shared" si="0"/>
        <v>Open</v>
      </c>
      <c r="F66" s="64" t="str">
        <f>'TEST CASES'!H68</f>
        <v>Azhar</v>
      </c>
    </row>
    <row r="67" spans="1:6">
      <c r="A67" s="63">
        <f>'TEST CASES'!A69</f>
        <v>66</v>
      </c>
      <c r="B67" s="64" t="str">
        <f>'TEST CASES'!B69</f>
        <v>BYD006-01</v>
      </c>
      <c r="C67" s="64">
        <f>IF('TEST CASES'!F69="", 0, LEN(TRIM('TEST CASES'!F69))-LEN(SUBSTITUTE('TEST CASES'!F69, CHAR(10), ""))+1)</f>
        <v>5</v>
      </c>
      <c r="E67" s="64" t="str">
        <f t="shared" ref="E67:E130" si="1">IF(D67=0,"Open",IF(D67=C67,"Done","InProgress"))</f>
        <v>Open</v>
      </c>
      <c r="F67" s="64" t="str">
        <f>'TEST CASES'!H69</f>
        <v>Affinia</v>
      </c>
    </row>
    <row r="68" spans="1:6">
      <c r="A68" s="63">
        <f>'TEST CASES'!A70</f>
        <v>67</v>
      </c>
      <c r="B68" s="64" t="str">
        <f>'TEST CASES'!B70</f>
        <v>BYD006-02</v>
      </c>
      <c r="C68" s="64">
        <f>IF('TEST CASES'!F70="", 0, LEN(TRIM('TEST CASES'!F70))-LEN(SUBSTITUTE('TEST CASES'!F70, CHAR(10), ""))+1)</f>
        <v>4</v>
      </c>
      <c r="E68" s="64" t="str">
        <f t="shared" si="1"/>
        <v>Open</v>
      </c>
      <c r="F68" s="64" t="str">
        <f>'TEST CASES'!H70</f>
        <v>Affinia</v>
      </c>
    </row>
    <row r="69" spans="1:6">
      <c r="A69" s="63">
        <f>'TEST CASES'!A71</f>
        <v>68</v>
      </c>
      <c r="B69" s="64" t="str">
        <f>'TEST CASES'!B71</f>
        <v>BYD006-03</v>
      </c>
      <c r="C69" s="64">
        <f>IF('TEST CASES'!F71="", 0, LEN(TRIM('TEST CASES'!F71))-LEN(SUBSTITUTE('TEST CASES'!F71, CHAR(10), ""))+1)</f>
        <v>3</v>
      </c>
      <c r="E69" s="64" t="str">
        <f t="shared" si="1"/>
        <v>Open</v>
      </c>
      <c r="F69" s="64" t="str">
        <f>'TEST CASES'!H71</f>
        <v>Affinia</v>
      </c>
    </row>
    <row r="70" spans="1:6">
      <c r="A70" s="63">
        <f>'TEST CASES'!A72</f>
        <v>69</v>
      </c>
      <c r="B70" s="64" t="str">
        <f>'TEST CASES'!B72</f>
        <v>BYD006-04</v>
      </c>
      <c r="C70" s="64">
        <f>IF('TEST CASES'!F72="", 0, LEN(TRIM('TEST CASES'!F72))-LEN(SUBSTITUTE('TEST CASES'!F72, CHAR(10), ""))+1)</f>
        <v>7</v>
      </c>
      <c r="E70" s="64" t="str">
        <f t="shared" si="1"/>
        <v>Open</v>
      </c>
      <c r="F70" s="64" t="str">
        <f>'TEST CASES'!H72</f>
        <v>Affinia</v>
      </c>
    </row>
    <row r="71" spans="1:6">
      <c r="A71" s="63">
        <f>'TEST CASES'!A73</f>
        <v>70</v>
      </c>
      <c r="B71" s="64" t="str">
        <f>'TEST CASES'!B73</f>
        <v>BYD006-05</v>
      </c>
      <c r="C71" s="64">
        <f>IF('TEST CASES'!F73="", 0, LEN(TRIM('TEST CASES'!F73))-LEN(SUBSTITUTE('TEST CASES'!F73, CHAR(10), ""))+1)</f>
        <v>10</v>
      </c>
      <c r="E71" s="64" t="str">
        <f t="shared" si="1"/>
        <v>Open</v>
      </c>
      <c r="F71" s="64" t="str">
        <f>'TEST CASES'!H73</f>
        <v>Affinia</v>
      </c>
    </row>
    <row r="72" spans="1:6">
      <c r="A72" s="63">
        <f>'TEST CASES'!A74</f>
        <v>71</v>
      </c>
      <c r="B72" s="64" t="str">
        <f>'TEST CASES'!B74</f>
        <v>BYD006-06</v>
      </c>
      <c r="C72" s="64">
        <f>IF('TEST CASES'!F74="", 0, LEN(TRIM('TEST CASES'!F74))-LEN(SUBSTITUTE('TEST CASES'!F74, CHAR(10), ""))+1)</f>
        <v>9</v>
      </c>
      <c r="E72" s="64" t="str">
        <f t="shared" si="1"/>
        <v>Open</v>
      </c>
      <c r="F72" s="64" t="str">
        <f>'TEST CASES'!H74</f>
        <v>Affinia</v>
      </c>
    </row>
    <row r="73" spans="1:6">
      <c r="A73" s="63">
        <f>'TEST CASES'!A75</f>
        <v>72</v>
      </c>
      <c r="B73" s="64" t="str">
        <f>'TEST CASES'!B75</f>
        <v>BYD006-07</v>
      </c>
      <c r="C73" s="64">
        <f>IF('TEST CASES'!F75="", 0, LEN(TRIM('TEST CASES'!F75))-LEN(SUBSTITUTE('TEST CASES'!F75, CHAR(10), ""))+1)</f>
        <v>4</v>
      </c>
      <c r="E73" s="64" t="str">
        <f t="shared" si="1"/>
        <v>Open</v>
      </c>
      <c r="F73" s="64" t="str">
        <f>'TEST CASES'!H75</f>
        <v>Affinia</v>
      </c>
    </row>
    <row r="74" spans="1:6">
      <c r="A74" s="63">
        <f>'TEST CASES'!A76</f>
        <v>73</v>
      </c>
      <c r="B74" s="64" t="str">
        <f>'TEST CASES'!B76</f>
        <v>BYD006-08</v>
      </c>
      <c r="C74" s="64">
        <f>IF('TEST CASES'!F76="", 0, LEN(TRIM('TEST CASES'!F76))-LEN(SUBSTITUTE('TEST CASES'!F76, CHAR(10), ""))+1)</f>
        <v>5</v>
      </c>
      <c r="E74" s="64" t="str">
        <f t="shared" si="1"/>
        <v>Open</v>
      </c>
      <c r="F74" s="64" t="str">
        <f>'TEST CASES'!H76</f>
        <v>Affinia</v>
      </c>
    </row>
    <row r="75" spans="1:6">
      <c r="A75" s="63">
        <f>'TEST CASES'!A77</f>
        <v>74</v>
      </c>
      <c r="B75" s="64" t="str">
        <f>'TEST CASES'!B77</f>
        <v>BYD006-09</v>
      </c>
      <c r="C75" s="64">
        <f>IF('TEST CASES'!F77="", 0, LEN(TRIM('TEST CASES'!F77))-LEN(SUBSTITUTE('TEST CASES'!F77, CHAR(10), ""))+1)</f>
        <v>4</v>
      </c>
      <c r="E75" s="64" t="str">
        <f t="shared" si="1"/>
        <v>Open</v>
      </c>
      <c r="F75" s="64" t="str">
        <f>'TEST CASES'!H77</f>
        <v>Affinia</v>
      </c>
    </row>
    <row r="76" spans="1:6">
      <c r="A76" s="63">
        <f>'TEST CASES'!A78</f>
        <v>75</v>
      </c>
      <c r="B76" s="64" t="str">
        <f>'TEST CASES'!B78</f>
        <v>BYD006-10</v>
      </c>
      <c r="C76" s="64">
        <f>IF('TEST CASES'!F78="", 0, LEN(TRIM('TEST CASES'!F78))-LEN(SUBSTITUTE('TEST CASES'!F78, CHAR(10), ""))+1)</f>
        <v>4</v>
      </c>
      <c r="E76" s="64" t="str">
        <f t="shared" si="1"/>
        <v>Open</v>
      </c>
      <c r="F76" s="64" t="str">
        <f>'TEST CASES'!H78</f>
        <v>Affinia</v>
      </c>
    </row>
    <row r="77" spans="1:6">
      <c r="A77" s="63">
        <f>'TEST CASES'!A79</f>
        <v>76</v>
      </c>
      <c r="B77" s="64" t="str">
        <f>'TEST CASES'!B79</f>
        <v>BYD006-11</v>
      </c>
      <c r="C77" s="64">
        <f>IF('TEST CASES'!F79="", 0, LEN(TRIM('TEST CASES'!F79))-LEN(SUBSTITUTE('TEST CASES'!F79, CHAR(10), ""))+1)</f>
        <v>2</v>
      </c>
      <c r="E77" s="64" t="str">
        <f t="shared" si="1"/>
        <v>Open</v>
      </c>
      <c r="F77" s="64" t="str">
        <f>'TEST CASES'!H79</f>
        <v>Affinia</v>
      </c>
    </row>
    <row r="78" spans="1:6">
      <c r="A78" s="63">
        <f>'TEST CASES'!A80</f>
        <v>77</v>
      </c>
      <c r="B78" s="64" t="str">
        <f>'TEST CASES'!B80</f>
        <v>BYD006-12</v>
      </c>
      <c r="C78" s="64">
        <f>IF('TEST CASES'!F80="", 0, LEN(TRIM('TEST CASES'!F80))-LEN(SUBSTITUTE('TEST CASES'!F80, CHAR(10), ""))+1)</f>
        <v>5</v>
      </c>
      <c r="E78" s="64" t="str">
        <f t="shared" si="1"/>
        <v>Open</v>
      </c>
      <c r="F78" s="64" t="str">
        <f>'TEST CASES'!H80</f>
        <v>Affinia</v>
      </c>
    </row>
    <row r="79" spans="1:6">
      <c r="A79" s="63">
        <f>'TEST CASES'!A81</f>
        <v>78</v>
      </c>
      <c r="B79" s="64" t="str">
        <f>'TEST CASES'!B81</f>
        <v>BYD006-13</v>
      </c>
      <c r="C79" s="64">
        <f>IF('TEST CASES'!F81="", 0, LEN(TRIM('TEST CASES'!F81))-LEN(SUBSTITUTE('TEST CASES'!F81, CHAR(10), ""))+1)</f>
        <v>2</v>
      </c>
      <c r="E79" s="64" t="str">
        <f t="shared" si="1"/>
        <v>Open</v>
      </c>
      <c r="F79" s="64" t="str">
        <f>'TEST CASES'!H81</f>
        <v>Affinia</v>
      </c>
    </row>
    <row r="80" spans="1:6">
      <c r="A80" s="63">
        <f>'TEST CASES'!A82</f>
        <v>79</v>
      </c>
      <c r="B80" s="64" t="str">
        <f>'TEST CASES'!B82</f>
        <v>BYD006-14</v>
      </c>
      <c r="C80" s="64">
        <f>IF('TEST CASES'!F82="", 0, LEN(TRIM('TEST CASES'!F82))-LEN(SUBSTITUTE('TEST CASES'!F82, CHAR(10), ""))+1)</f>
        <v>5</v>
      </c>
      <c r="E80" s="64" t="str">
        <f t="shared" si="1"/>
        <v>Open</v>
      </c>
      <c r="F80" s="64" t="str">
        <f>'TEST CASES'!H82</f>
        <v>Affinia</v>
      </c>
    </row>
    <row r="81" spans="1:6">
      <c r="A81" s="63">
        <f>'TEST CASES'!A83</f>
        <v>80</v>
      </c>
      <c r="B81" s="64" t="str">
        <f>'TEST CASES'!B83</f>
        <v>BYD006-15</v>
      </c>
      <c r="C81" s="64">
        <f>IF('TEST CASES'!F83="", 0, LEN(TRIM('TEST CASES'!F83))-LEN(SUBSTITUTE('TEST CASES'!F83, CHAR(10), ""))+1)</f>
        <v>4</v>
      </c>
      <c r="E81" s="64" t="str">
        <f t="shared" si="1"/>
        <v>Open</v>
      </c>
      <c r="F81" s="64" t="str">
        <f>'TEST CASES'!H83</f>
        <v>Affinia</v>
      </c>
    </row>
    <row r="82" spans="1:6">
      <c r="A82" s="63">
        <f>'TEST CASES'!A84</f>
        <v>81</v>
      </c>
      <c r="B82" s="64" t="str">
        <f>'TEST CASES'!B84</f>
        <v>BYD006-16</v>
      </c>
      <c r="C82" s="64">
        <f>IF('TEST CASES'!F84="", 0, LEN(TRIM('TEST CASES'!F84))-LEN(SUBSTITUTE('TEST CASES'!F84, CHAR(10), ""))+1)</f>
        <v>6</v>
      </c>
      <c r="E82" s="64" t="str">
        <f t="shared" si="1"/>
        <v>Open</v>
      </c>
      <c r="F82" s="64" t="str">
        <f>'TEST CASES'!H84</f>
        <v>Affinia</v>
      </c>
    </row>
    <row r="83" spans="1:6">
      <c r="A83" s="63">
        <f>'TEST CASES'!A85</f>
        <v>82</v>
      </c>
      <c r="B83" s="64" t="str">
        <f>'TEST CASES'!B85</f>
        <v>BYD006-17</v>
      </c>
      <c r="C83" s="64">
        <f>IF('TEST CASES'!F85="", 0, LEN(TRIM('TEST CASES'!F85))-LEN(SUBSTITUTE('TEST CASES'!F85, CHAR(10), ""))+1)</f>
        <v>7</v>
      </c>
      <c r="E83" s="64" t="str">
        <f t="shared" si="1"/>
        <v>Open</v>
      </c>
      <c r="F83" s="64" t="str">
        <f>'TEST CASES'!H85</f>
        <v>Affinia</v>
      </c>
    </row>
    <row r="84" spans="1:6">
      <c r="A84" s="63">
        <f>'TEST CASES'!A86</f>
        <v>83</v>
      </c>
      <c r="B84" s="64" t="str">
        <f>'TEST CASES'!B86</f>
        <v>BYD006-18</v>
      </c>
      <c r="C84" s="64">
        <f>IF('TEST CASES'!F86="", 0, LEN(TRIM('TEST CASES'!F86))-LEN(SUBSTITUTE('TEST CASES'!F86, CHAR(10), ""))+1)</f>
        <v>2</v>
      </c>
      <c r="E84" s="64" t="str">
        <f t="shared" si="1"/>
        <v>Open</v>
      </c>
      <c r="F84" s="64" t="str">
        <f>'TEST CASES'!H86</f>
        <v>Affinia</v>
      </c>
    </row>
    <row r="85" spans="1:6">
      <c r="A85" s="63">
        <f>'TEST CASES'!A87</f>
        <v>84</v>
      </c>
      <c r="B85" s="64" t="str">
        <f>'TEST CASES'!B87</f>
        <v>BYD006-19</v>
      </c>
      <c r="C85" s="64">
        <f>IF('TEST CASES'!F87="", 0, LEN(TRIM('TEST CASES'!F87))-LEN(SUBSTITUTE('TEST CASES'!F87, CHAR(10), ""))+1)</f>
        <v>3</v>
      </c>
      <c r="E85" s="64" t="str">
        <f t="shared" si="1"/>
        <v>Open</v>
      </c>
      <c r="F85" s="64" t="str">
        <f>'TEST CASES'!H87</f>
        <v>Affinia</v>
      </c>
    </row>
    <row r="86" spans="1:6">
      <c r="A86" s="63">
        <f>'TEST CASES'!A88</f>
        <v>85</v>
      </c>
      <c r="B86" s="64" t="str">
        <f>'TEST CASES'!B88</f>
        <v>BYD007-01</v>
      </c>
      <c r="C86" s="64">
        <f>IF('TEST CASES'!F88="", 0, LEN(TRIM('TEST CASES'!F88))-LEN(SUBSTITUTE('TEST CASES'!F88, CHAR(10), ""))+1)</f>
        <v>5</v>
      </c>
      <c r="E86" s="64" t="str">
        <f t="shared" si="1"/>
        <v>Open</v>
      </c>
      <c r="F86" s="64" t="str">
        <f>'TEST CASES'!H88</f>
        <v>Kevin</v>
      </c>
    </row>
    <row r="87" spans="1:6">
      <c r="A87" s="63">
        <f>'TEST CASES'!A89</f>
        <v>86</v>
      </c>
      <c r="B87" s="64" t="str">
        <f>'TEST CASES'!B89</f>
        <v>BYD007-02</v>
      </c>
      <c r="C87" s="64">
        <f>IF('TEST CASES'!F89="", 0, LEN(TRIM('TEST CASES'!F89))-LEN(SUBSTITUTE('TEST CASES'!F89, CHAR(10), ""))+1)</f>
        <v>4</v>
      </c>
      <c r="E87" s="64" t="str">
        <f t="shared" si="1"/>
        <v>Open</v>
      </c>
      <c r="F87" s="64" t="str">
        <f>'TEST CASES'!H89</f>
        <v>Kevin</v>
      </c>
    </row>
    <row r="88" spans="1:6">
      <c r="A88" s="63">
        <f>'TEST CASES'!A90</f>
        <v>87</v>
      </c>
      <c r="B88" s="64" t="str">
        <f>'TEST CASES'!B90</f>
        <v>BYD007-03</v>
      </c>
      <c r="C88" s="64">
        <f>IF('TEST CASES'!F90="", 0, LEN(TRIM('TEST CASES'!F90))-LEN(SUBSTITUTE('TEST CASES'!F90, CHAR(10), ""))+1)</f>
        <v>3</v>
      </c>
      <c r="E88" s="64" t="str">
        <f t="shared" si="1"/>
        <v>Open</v>
      </c>
      <c r="F88" s="64" t="str">
        <f>'TEST CASES'!H90</f>
        <v>Kevin</v>
      </c>
    </row>
    <row r="89" spans="1:6">
      <c r="A89" s="63">
        <f>'TEST CASES'!A91</f>
        <v>88</v>
      </c>
      <c r="B89" s="64" t="str">
        <f>'TEST CASES'!B91</f>
        <v>BYD007-04</v>
      </c>
      <c r="C89" s="64">
        <f>IF('TEST CASES'!F91="", 0, LEN(TRIM('TEST CASES'!F91))-LEN(SUBSTITUTE('TEST CASES'!F91, CHAR(10), ""))+1)</f>
        <v>7</v>
      </c>
      <c r="E89" s="64" t="str">
        <f t="shared" si="1"/>
        <v>Open</v>
      </c>
      <c r="F89" s="64" t="str">
        <f>'TEST CASES'!H91</f>
        <v>Kevin</v>
      </c>
    </row>
    <row r="90" spans="1:6">
      <c r="A90" s="63">
        <f>'TEST CASES'!A92</f>
        <v>89</v>
      </c>
      <c r="B90" s="64" t="str">
        <f>'TEST CASES'!B92</f>
        <v>BYD007-05</v>
      </c>
      <c r="C90" s="64">
        <f>IF('TEST CASES'!F92="", 0, LEN(TRIM('TEST CASES'!F92))-LEN(SUBSTITUTE('TEST CASES'!F92, CHAR(10), ""))+1)</f>
        <v>10</v>
      </c>
      <c r="E90" s="64" t="str">
        <f t="shared" si="1"/>
        <v>Open</v>
      </c>
      <c r="F90" s="64" t="str">
        <f>'TEST CASES'!H92</f>
        <v>Kevin</v>
      </c>
    </row>
    <row r="91" spans="1:6">
      <c r="A91" s="63">
        <f>'TEST CASES'!A93</f>
        <v>90</v>
      </c>
      <c r="B91" s="64" t="str">
        <f>'TEST CASES'!B93</f>
        <v>BYD007-06</v>
      </c>
      <c r="C91" s="64">
        <f>IF('TEST CASES'!F93="", 0, LEN(TRIM('TEST CASES'!F93))-LEN(SUBSTITUTE('TEST CASES'!F93, CHAR(10), ""))+1)</f>
        <v>9</v>
      </c>
      <c r="E91" s="64" t="str">
        <f t="shared" si="1"/>
        <v>Open</v>
      </c>
      <c r="F91" s="64" t="str">
        <f>'TEST CASES'!H93</f>
        <v>Kevin</v>
      </c>
    </row>
    <row r="92" spans="1:6">
      <c r="A92" s="63">
        <f>'TEST CASES'!A94</f>
        <v>91</v>
      </c>
      <c r="B92" s="64" t="str">
        <f>'TEST CASES'!B94</f>
        <v>BYD007-07</v>
      </c>
      <c r="C92" s="64">
        <f>IF('TEST CASES'!F94="", 0, LEN(TRIM('TEST CASES'!F94))-LEN(SUBSTITUTE('TEST CASES'!F94, CHAR(10), ""))+1)</f>
        <v>5</v>
      </c>
      <c r="E92" s="64" t="str">
        <f t="shared" si="1"/>
        <v>Open</v>
      </c>
      <c r="F92" s="64" t="str">
        <f>'TEST CASES'!H94</f>
        <v>Kevin</v>
      </c>
    </row>
    <row r="93" spans="1:6">
      <c r="A93" s="63">
        <f>'TEST CASES'!A95</f>
        <v>92</v>
      </c>
      <c r="B93" s="64" t="str">
        <f>'TEST CASES'!B95</f>
        <v>BYD007-08</v>
      </c>
      <c r="C93" s="64">
        <f>IF('TEST CASES'!F95="", 0, LEN(TRIM('TEST CASES'!F95))-LEN(SUBSTITUTE('TEST CASES'!F95, CHAR(10), ""))+1)</f>
        <v>4</v>
      </c>
      <c r="E93" s="64" t="str">
        <f t="shared" si="1"/>
        <v>Open</v>
      </c>
      <c r="F93" s="64" t="str">
        <f>'TEST CASES'!H95</f>
        <v>Kevin</v>
      </c>
    </row>
    <row r="94" spans="1:6">
      <c r="A94" s="63">
        <f>'TEST CASES'!A96</f>
        <v>93</v>
      </c>
      <c r="B94" s="64" t="str">
        <f>'TEST CASES'!B96</f>
        <v>BYD007-09</v>
      </c>
      <c r="C94" s="64">
        <f>IF('TEST CASES'!F96="", 0, LEN(TRIM('TEST CASES'!F96))-LEN(SUBSTITUTE('TEST CASES'!F96, CHAR(10), ""))+1)</f>
        <v>6</v>
      </c>
      <c r="E94" s="64" t="str">
        <f t="shared" si="1"/>
        <v>Open</v>
      </c>
      <c r="F94" s="64" t="str">
        <f>'TEST CASES'!H96</f>
        <v>Kevin</v>
      </c>
    </row>
    <row r="95" spans="1:6">
      <c r="A95" s="63">
        <f>'TEST CASES'!A97</f>
        <v>94</v>
      </c>
      <c r="B95" s="64" t="str">
        <f>'TEST CASES'!B97</f>
        <v>BYD007-10</v>
      </c>
      <c r="C95" s="64">
        <f>IF('TEST CASES'!F97="", 0, LEN(TRIM('TEST CASES'!F97))-LEN(SUBSTITUTE('TEST CASES'!F97, CHAR(10), ""))+1)</f>
        <v>7</v>
      </c>
      <c r="E95" s="64" t="str">
        <f t="shared" si="1"/>
        <v>Open</v>
      </c>
      <c r="F95" s="64" t="str">
        <f>'TEST CASES'!H97</f>
        <v>Kevin</v>
      </c>
    </row>
    <row r="96" spans="1:6">
      <c r="A96" s="63">
        <f>'TEST CASES'!A98</f>
        <v>95</v>
      </c>
      <c r="B96" s="64" t="str">
        <f>'TEST CASES'!B98</f>
        <v>BYD007-11</v>
      </c>
      <c r="C96" s="64">
        <f>IF('TEST CASES'!F98="", 0, LEN(TRIM('TEST CASES'!F98))-LEN(SUBSTITUTE('TEST CASES'!F98, CHAR(10), ""))+1)</f>
        <v>2</v>
      </c>
      <c r="E96" s="64" t="str">
        <f t="shared" si="1"/>
        <v>Open</v>
      </c>
      <c r="F96" s="64" t="str">
        <f>'TEST CASES'!H98</f>
        <v>Kevin</v>
      </c>
    </row>
    <row r="97" spans="1:6">
      <c r="A97" s="63">
        <f>'TEST CASES'!A99</f>
        <v>96</v>
      </c>
      <c r="B97" s="64" t="str">
        <f>'TEST CASES'!B99</f>
        <v>BYD007-12</v>
      </c>
      <c r="C97" s="64">
        <f>IF('TEST CASES'!F99="", 0, LEN(TRIM('TEST CASES'!F99))-LEN(SUBSTITUTE('TEST CASES'!F99, CHAR(10), ""))+1)</f>
        <v>3</v>
      </c>
      <c r="E97" s="64" t="str">
        <f t="shared" si="1"/>
        <v>Open</v>
      </c>
      <c r="F97" s="64" t="str">
        <f>'TEST CASES'!H99</f>
        <v>Kevin</v>
      </c>
    </row>
    <row r="98" spans="1:6">
      <c r="A98" s="63">
        <f>'TEST CASES'!A100</f>
        <v>97</v>
      </c>
      <c r="B98" s="64" t="str">
        <f>'TEST CASES'!B100</f>
        <v>BYD008-01</v>
      </c>
      <c r="C98" s="64">
        <f>IF('TEST CASES'!F100="", 0, LEN(TRIM('TEST CASES'!F100))-LEN(SUBSTITUTE('TEST CASES'!F100, CHAR(10), ""))+1)</f>
        <v>5</v>
      </c>
      <c r="E98" s="64" t="str">
        <f t="shared" si="1"/>
        <v>Open</v>
      </c>
      <c r="F98" s="64" t="str">
        <f>'TEST CASES'!H100</f>
        <v>Rasya</v>
      </c>
    </row>
    <row r="99" spans="1:6">
      <c r="A99" s="63">
        <f>'TEST CASES'!A101</f>
        <v>98</v>
      </c>
      <c r="B99" s="64" t="str">
        <f>'TEST CASES'!B101</f>
        <v>BYD008-02</v>
      </c>
      <c r="C99" s="64">
        <f>IF('TEST CASES'!F101="", 0, LEN(TRIM('TEST CASES'!F101))-LEN(SUBSTITUTE('TEST CASES'!F101, CHAR(10), ""))+1)</f>
        <v>4</v>
      </c>
      <c r="E99" s="64" t="str">
        <f t="shared" si="1"/>
        <v>Open</v>
      </c>
      <c r="F99" s="64" t="str">
        <f>'TEST CASES'!H101</f>
        <v>Rasya</v>
      </c>
    </row>
    <row r="100" spans="1:6">
      <c r="A100" s="63">
        <f>'TEST CASES'!A102</f>
        <v>99</v>
      </c>
      <c r="B100" s="64" t="str">
        <f>'TEST CASES'!B102</f>
        <v>BYD008-03</v>
      </c>
      <c r="C100" s="64">
        <f>IF('TEST CASES'!F102="", 0, LEN(TRIM('TEST CASES'!F102))-LEN(SUBSTITUTE('TEST CASES'!F102, CHAR(10), ""))+1)</f>
        <v>3</v>
      </c>
      <c r="E100" s="64" t="str">
        <f t="shared" si="1"/>
        <v>Open</v>
      </c>
      <c r="F100" s="64" t="str">
        <f>'TEST CASES'!H102</f>
        <v>Rasya</v>
      </c>
    </row>
    <row r="101" spans="1:6">
      <c r="A101" s="63">
        <f>'TEST CASES'!A103</f>
        <v>100</v>
      </c>
      <c r="B101" s="64" t="str">
        <f>'TEST CASES'!B103</f>
        <v>BYD008-04</v>
      </c>
      <c r="C101" s="64">
        <f>IF('TEST CASES'!F103="", 0, LEN(TRIM('TEST CASES'!F103))-LEN(SUBSTITUTE('TEST CASES'!F103, CHAR(10), ""))+1)</f>
        <v>7</v>
      </c>
      <c r="E101" s="64" t="str">
        <f t="shared" si="1"/>
        <v>Open</v>
      </c>
      <c r="F101" s="64" t="str">
        <f>'TEST CASES'!H103</f>
        <v>Rasya</v>
      </c>
    </row>
    <row r="102" spans="1:6">
      <c r="A102" s="63">
        <f>'TEST CASES'!A104</f>
        <v>101</v>
      </c>
      <c r="B102" s="64" t="str">
        <f>'TEST CASES'!B104</f>
        <v>BYD008-05</v>
      </c>
      <c r="C102" s="64">
        <f>IF('TEST CASES'!F104="", 0, LEN(TRIM('TEST CASES'!F104))-LEN(SUBSTITUTE('TEST CASES'!F104, CHAR(10), ""))+1)</f>
        <v>10</v>
      </c>
      <c r="E102" s="64" t="str">
        <f t="shared" si="1"/>
        <v>Open</v>
      </c>
      <c r="F102" s="64" t="str">
        <f>'TEST CASES'!H104</f>
        <v>Rasya</v>
      </c>
    </row>
    <row r="103" spans="1:6">
      <c r="A103" s="63">
        <f>'TEST CASES'!A105</f>
        <v>102</v>
      </c>
      <c r="B103" s="64" t="str">
        <f>'TEST CASES'!B105</f>
        <v>BYD008-06</v>
      </c>
      <c r="C103" s="64">
        <f>IF('TEST CASES'!F105="", 0, LEN(TRIM('TEST CASES'!F105))-LEN(SUBSTITUTE('TEST CASES'!F105, CHAR(10), ""))+1)</f>
        <v>9</v>
      </c>
      <c r="E103" s="64" t="str">
        <f t="shared" si="1"/>
        <v>Open</v>
      </c>
      <c r="F103" s="64" t="str">
        <f>'TEST CASES'!H105</f>
        <v>Rasya</v>
      </c>
    </row>
    <row r="104" spans="1:6">
      <c r="A104" s="63">
        <f>'TEST CASES'!A106</f>
        <v>103</v>
      </c>
      <c r="B104" s="64" t="str">
        <f>'TEST CASES'!B106</f>
        <v>BYD008-07</v>
      </c>
      <c r="C104" s="64">
        <f>IF('TEST CASES'!F106="", 0, LEN(TRIM('TEST CASES'!F106))-LEN(SUBSTITUTE('TEST CASES'!F106, CHAR(10), ""))+1)</f>
        <v>6</v>
      </c>
      <c r="E104" s="64" t="str">
        <f t="shared" si="1"/>
        <v>Open</v>
      </c>
      <c r="F104" s="64" t="str">
        <f>'TEST CASES'!H106</f>
        <v>Rasya</v>
      </c>
    </row>
    <row r="105" spans="1:6">
      <c r="A105" s="63">
        <f>'TEST CASES'!A107</f>
        <v>104</v>
      </c>
      <c r="B105" s="64" t="str">
        <f>'TEST CASES'!B107</f>
        <v>BYD008-08</v>
      </c>
      <c r="C105" s="64">
        <f>IF('TEST CASES'!F107="", 0, LEN(TRIM('TEST CASES'!F107))-LEN(SUBSTITUTE('TEST CASES'!F107, CHAR(10), ""))+1)</f>
        <v>4</v>
      </c>
      <c r="E105" s="64" t="str">
        <f t="shared" si="1"/>
        <v>Open</v>
      </c>
      <c r="F105" s="64" t="str">
        <f>'TEST CASES'!H107</f>
        <v>Rasya</v>
      </c>
    </row>
    <row r="106" spans="1:6">
      <c r="A106" s="63">
        <f>'TEST CASES'!A108</f>
        <v>105</v>
      </c>
      <c r="B106" s="64" t="str">
        <f>'TEST CASES'!B108</f>
        <v>BYD008-09</v>
      </c>
      <c r="C106" s="64">
        <f>IF('TEST CASES'!F108="", 0, LEN(TRIM('TEST CASES'!F108))-LEN(SUBSTITUTE('TEST CASES'!F108, CHAR(10), ""))+1)</f>
        <v>6</v>
      </c>
      <c r="E106" s="64" t="str">
        <f t="shared" si="1"/>
        <v>Open</v>
      </c>
      <c r="F106" s="64" t="str">
        <f>'TEST CASES'!H108</f>
        <v>Rasya</v>
      </c>
    </row>
    <row r="107" spans="1:6">
      <c r="A107" s="63">
        <f>'TEST CASES'!A109</f>
        <v>106</v>
      </c>
      <c r="B107" s="64" t="str">
        <f>'TEST CASES'!B109</f>
        <v>BYD008-10</v>
      </c>
      <c r="C107" s="64">
        <f>IF('TEST CASES'!F109="", 0, LEN(TRIM('TEST CASES'!F109))-LEN(SUBSTITUTE('TEST CASES'!F109, CHAR(10), ""))+1)</f>
        <v>7</v>
      </c>
      <c r="E107" s="64" t="str">
        <f t="shared" si="1"/>
        <v>Open</v>
      </c>
      <c r="F107" s="64" t="str">
        <f>'TEST CASES'!H109</f>
        <v>Rasya</v>
      </c>
    </row>
    <row r="108" spans="1:6">
      <c r="A108" s="63">
        <f>'TEST CASES'!A110</f>
        <v>107</v>
      </c>
      <c r="B108" s="64" t="str">
        <f>'TEST CASES'!B110</f>
        <v>BYD008-11</v>
      </c>
      <c r="C108" s="64">
        <f>IF('TEST CASES'!F110="", 0, LEN(TRIM('TEST CASES'!F110))-LEN(SUBSTITUTE('TEST CASES'!F110, CHAR(10), ""))+1)</f>
        <v>2</v>
      </c>
      <c r="E108" s="64" t="str">
        <f t="shared" si="1"/>
        <v>Open</v>
      </c>
      <c r="F108" s="64" t="str">
        <f>'TEST CASES'!H110</f>
        <v>Rasya</v>
      </c>
    </row>
    <row r="109" spans="1:6">
      <c r="A109" s="63">
        <f>'TEST CASES'!A111</f>
        <v>108</v>
      </c>
      <c r="B109" s="64" t="str">
        <f>'TEST CASES'!B111</f>
        <v>BYD008-12</v>
      </c>
      <c r="C109" s="64">
        <f>IF('TEST CASES'!F111="", 0, LEN(TRIM('TEST CASES'!F111))-LEN(SUBSTITUTE('TEST CASES'!F111, CHAR(10), ""))+1)</f>
        <v>3</v>
      </c>
      <c r="E109" s="64" t="str">
        <f t="shared" si="1"/>
        <v>Open</v>
      </c>
      <c r="F109" s="64" t="str">
        <f>'TEST CASES'!H111</f>
        <v>Rasya</v>
      </c>
    </row>
    <row r="110" spans="1:6">
      <c r="A110" s="63">
        <f>'TEST CASES'!A112</f>
        <v>109</v>
      </c>
      <c r="B110" s="64" t="str">
        <f>'TEST CASES'!B112</f>
        <v>BYD009-01</v>
      </c>
      <c r="C110" s="64">
        <f>IF('TEST CASES'!F112="", 0, LEN(TRIM('TEST CASES'!F112))-LEN(SUBSTITUTE('TEST CASES'!F112, CHAR(10), ""))+1)</f>
        <v>5</v>
      </c>
      <c r="E110" s="64" t="str">
        <f t="shared" si="1"/>
        <v>Open</v>
      </c>
      <c r="F110" s="64" t="str">
        <f>'TEST CASES'!H112</f>
        <v>Azhar</v>
      </c>
    </row>
    <row r="111" spans="1:6">
      <c r="A111" s="63">
        <f>'TEST CASES'!A113</f>
        <v>110</v>
      </c>
      <c r="B111" s="64" t="str">
        <f>'TEST CASES'!B113</f>
        <v>BYD009-02</v>
      </c>
      <c r="C111" s="64">
        <f>IF('TEST CASES'!F113="", 0, LEN(TRIM('TEST CASES'!F113))-LEN(SUBSTITUTE('TEST CASES'!F113, CHAR(10), ""))+1)</f>
        <v>4</v>
      </c>
      <c r="E111" s="64" t="str">
        <f t="shared" si="1"/>
        <v>Open</v>
      </c>
      <c r="F111" s="64" t="str">
        <f>'TEST CASES'!H113</f>
        <v>Azhar</v>
      </c>
    </row>
    <row r="112" spans="1:6">
      <c r="A112" s="63">
        <f>'TEST CASES'!A114</f>
        <v>111</v>
      </c>
      <c r="B112" s="64" t="str">
        <f>'TEST CASES'!B114</f>
        <v>BYD009-03</v>
      </c>
      <c r="C112" s="64">
        <f>IF('TEST CASES'!F114="", 0, LEN(TRIM('TEST CASES'!F114))-LEN(SUBSTITUTE('TEST CASES'!F114, CHAR(10), ""))+1)</f>
        <v>3</v>
      </c>
      <c r="E112" s="64" t="str">
        <f t="shared" si="1"/>
        <v>Open</v>
      </c>
      <c r="F112" s="64" t="str">
        <f>'TEST CASES'!H114</f>
        <v>Azhar</v>
      </c>
    </row>
    <row r="113" spans="1:6">
      <c r="A113" s="63">
        <f>'TEST CASES'!A115</f>
        <v>112</v>
      </c>
      <c r="B113" s="64" t="str">
        <f>'TEST CASES'!B115</f>
        <v>BYD009-04</v>
      </c>
      <c r="C113" s="64">
        <f>IF('TEST CASES'!F115="", 0, LEN(TRIM('TEST CASES'!F115))-LEN(SUBSTITUTE('TEST CASES'!F115, CHAR(10), ""))+1)</f>
        <v>7</v>
      </c>
      <c r="E113" s="64" t="str">
        <f t="shared" si="1"/>
        <v>Open</v>
      </c>
      <c r="F113" s="64" t="str">
        <f>'TEST CASES'!H115</f>
        <v>Azhar</v>
      </c>
    </row>
    <row r="114" spans="1:6">
      <c r="A114" s="63">
        <f>'TEST CASES'!A116</f>
        <v>113</v>
      </c>
      <c r="B114" s="64" t="str">
        <f>'TEST CASES'!B116</f>
        <v>BYD009-05</v>
      </c>
      <c r="C114" s="64">
        <f>IF('TEST CASES'!F116="", 0, LEN(TRIM('TEST CASES'!F116))-LEN(SUBSTITUTE('TEST CASES'!F116, CHAR(10), ""))+1)</f>
        <v>10</v>
      </c>
      <c r="E114" s="64" t="str">
        <f t="shared" si="1"/>
        <v>Open</v>
      </c>
      <c r="F114" s="64" t="str">
        <f>'TEST CASES'!H116</f>
        <v>Azhar</v>
      </c>
    </row>
    <row r="115" spans="1:6">
      <c r="A115" s="63">
        <f>'TEST CASES'!A117</f>
        <v>114</v>
      </c>
      <c r="B115" s="64" t="str">
        <f>'TEST CASES'!B117</f>
        <v>BYD009-06</v>
      </c>
      <c r="C115" s="64">
        <f>IF('TEST CASES'!F117="", 0, LEN(TRIM('TEST CASES'!F117))-LEN(SUBSTITUTE('TEST CASES'!F117, CHAR(10), ""))+1)</f>
        <v>9</v>
      </c>
      <c r="E115" s="64" t="str">
        <f t="shared" si="1"/>
        <v>Open</v>
      </c>
      <c r="F115" s="64" t="str">
        <f>'TEST CASES'!H117</f>
        <v>Azhar</v>
      </c>
    </row>
    <row r="116" spans="1:6">
      <c r="A116" s="63">
        <f>'TEST CASES'!A118</f>
        <v>115</v>
      </c>
      <c r="B116" s="64" t="str">
        <f>'TEST CASES'!B118</f>
        <v>BYD009-07</v>
      </c>
      <c r="C116" s="64">
        <f>IF('TEST CASES'!F118="", 0, LEN(TRIM('TEST CASES'!F118))-LEN(SUBSTITUTE('TEST CASES'!F118, CHAR(10), ""))+1)</f>
        <v>6</v>
      </c>
      <c r="E116" s="64" t="str">
        <f t="shared" si="1"/>
        <v>Open</v>
      </c>
      <c r="F116" s="64" t="str">
        <f>'TEST CASES'!H118</f>
        <v>Azhar</v>
      </c>
    </row>
    <row r="117" spans="1:6">
      <c r="A117" s="63">
        <f>'TEST CASES'!A119</f>
        <v>116</v>
      </c>
      <c r="B117" s="64" t="str">
        <f>'TEST CASES'!B119</f>
        <v>BYD009-08</v>
      </c>
      <c r="C117" s="64">
        <f>IF('TEST CASES'!F119="", 0, LEN(TRIM('TEST CASES'!F119))-LEN(SUBSTITUTE('TEST CASES'!F119, CHAR(10), ""))+1)</f>
        <v>4</v>
      </c>
      <c r="E117" s="64" t="str">
        <f t="shared" si="1"/>
        <v>Open</v>
      </c>
      <c r="F117" s="64" t="str">
        <f>'TEST CASES'!H119</f>
        <v>Azhar</v>
      </c>
    </row>
    <row r="118" spans="1:6">
      <c r="A118" s="63">
        <f>'TEST CASES'!A120</f>
        <v>117</v>
      </c>
      <c r="B118" s="64" t="str">
        <f>'TEST CASES'!B120</f>
        <v>BYD009-09</v>
      </c>
      <c r="C118" s="64">
        <f>IF('TEST CASES'!F120="", 0, LEN(TRIM('TEST CASES'!F120))-LEN(SUBSTITUTE('TEST CASES'!F120, CHAR(10), ""))+1)</f>
        <v>6</v>
      </c>
      <c r="E118" s="64" t="str">
        <f t="shared" si="1"/>
        <v>Open</v>
      </c>
      <c r="F118" s="64" t="str">
        <f>'TEST CASES'!H120</f>
        <v>Azhar</v>
      </c>
    </row>
    <row r="119" spans="1:6">
      <c r="A119" s="63">
        <f>'TEST CASES'!A121</f>
        <v>118</v>
      </c>
      <c r="B119" s="64" t="str">
        <f>'TEST CASES'!B121</f>
        <v>BYD009-10</v>
      </c>
      <c r="C119" s="64">
        <f>IF('TEST CASES'!F121="", 0, LEN(TRIM('TEST CASES'!F121))-LEN(SUBSTITUTE('TEST CASES'!F121, CHAR(10), ""))+1)</f>
        <v>4</v>
      </c>
      <c r="E119" s="64" t="str">
        <f t="shared" si="1"/>
        <v>Open</v>
      </c>
      <c r="F119" s="64" t="str">
        <f>'TEST CASES'!H121</f>
        <v>Azhar</v>
      </c>
    </row>
    <row r="120" spans="1:6">
      <c r="A120" s="63">
        <f>'TEST CASES'!A122</f>
        <v>119</v>
      </c>
      <c r="B120" s="64" t="str">
        <f>'TEST CASES'!B122</f>
        <v>BYD009-11</v>
      </c>
      <c r="C120" s="64">
        <f>IF('TEST CASES'!F122="", 0, LEN(TRIM('TEST CASES'!F122))-LEN(SUBSTITUTE('TEST CASES'!F122, CHAR(10), ""))+1)</f>
        <v>2</v>
      </c>
      <c r="E120" s="64" t="str">
        <f t="shared" si="1"/>
        <v>Open</v>
      </c>
      <c r="F120" s="64" t="str">
        <f>'TEST CASES'!H122</f>
        <v>Azhar</v>
      </c>
    </row>
    <row r="121" spans="1:6">
      <c r="A121" s="63">
        <f>'TEST CASES'!A123</f>
        <v>120</v>
      </c>
      <c r="B121" s="64" t="str">
        <f>'TEST CASES'!B123</f>
        <v>BYD009-12</v>
      </c>
      <c r="C121" s="64">
        <f>IF('TEST CASES'!F123="", 0, LEN(TRIM('TEST CASES'!F123))-LEN(SUBSTITUTE('TEST CASES'!F123, CHAR(10), ""))+1)</f>
        <v>5</v>
      </c>
      <c r="E121" s="64" t="str">
        <f t="shared" si="1"/>
        <v>Open</v>
      </c>
      <c r="F121" s="64" t="str">
        <f>'TEST CASES'!H123</f>
        <v>Azhar</v>
      </c>
    </row>
    <row r="122" spans="1:6">
      <c r="A122" s="63">
        <f>'TEST CASES'!A124</f>
        <v>121</v>
      </c>
      <c r="B122" s="64" t="str">
        <f>'TEST CASES'!B124</f>
        <v>BYD009-13</v>
      </c>
      <c r="C122" s="64">
        <f>IF('TEST CASES'!F124="", 0, LEN(TRIM('TEST CASES'!F124))-LEN(SUBSTITUTE('TEST CASES'!F124, CHAR(10), ""))+1)</f>
        <v>3</v>
      </c>
      <c r="E122" s="64" t="str">
        <f t="shared" si="1"/>
        <v>Open</v>
      </c>
      <c r="F122" s="64" t="str">
        <f>'TEST CASES'!H124</f>
        <v>Azhar</v>
      </c>
    </row>
    <row r="123" spans="1:6">
      <c r="A123" s="63">
        <f>'TEST CASES'!A125</f>
        <v>122</v>
      </c>
      <c r="B123" s="64" t="str">
        <f>'TEST CASES'!B125</f>
        <v>BYD009-14</v>
      </c>
      <c r="C123" s="64">
        <f>IF('TEST CASES'!F125="", 0, LEN(TRIM('TEST CASES'!F125))-LEN(SUBSTITUTE('TEST CASES'!F125, CHAR(10), ""))+1)</f>
        <v>5</v>
      </c>
      <c r="E123" s="64" t="str">
        <f t="shared" si="1"/>
        <v>Open</v>
      </c>
      <c r="F123" s="64" t="str">
        <f>'TEST CASES'!H125</f>
        <v>Azhar</v>
      </c>
    </row>
    <row r="124" spans="1:6">
      <c r="A124" s="63">
        <f>'TEST CASES'!A126</f>
        <v>123</v>
      </c>
      <c r="B124" s="64" t="str">
        <f>'TEST CASES'!B126</f>
        <v>BYD009-15</v>
      </c>
      <c r="C124" s="64">
        <f>IF('TEST CASES'!F126="", 0, LEN(TRIM('TEST CASES'!F126))-LEN(SUBSTITUTE('TEST CASES'!F126, CHAR(10), ""))+1)</f>
        <v>4</v>
      </c>
      <c r="E124" s="64" t="str">
        <f t="shared" si="1"/>
        <v>Open</v>
      </c>
      <c r="F124" s="64" t="str">
        <f>'TEST CASES'!H126</f>
        <v>Azhar</v>
      </c>
    </row>
    <row r="125" spans="1:6">
      <c r="A125" s="63">
        <f>'TEST CASES'!A127</f>
        <v>124</v>
      </c>
      <c r="B125" s="64" t="str">
        <f>'TEST CASES'!B127</f>
        <v>BYD009-16</v>
      </c>
      <c r="C125" s="64">
        <f>IF('TEST CASES'!F127="", 0, LEN(TRIM('TEST CASES'!F127))-LEN(SUBSTITUTE('TEST CASES'!F127, CHAR(10), ""))+1)</f>
        <v>6</v>
      </c>
      <c r="E125" s="64" t="str">
        <f t="shared" si="1"/>
        <v>Open</v>
      </c>
      <c r="F125" s="64" t="str">
        <f>'TEST CASES'!H127</f>
        <v>Azhar</v>
      </c>
    </row>
    <row r="126" spans="1:6">
      <c r="A126" s="63">
        <f>'TEST CASES'!A128</f>
        <v>125</v>
      </c>
      <c r="B126" s="64" t="str">
        <f>'TEST CASES'!B128</f>
        <v>BYD009-17</v>
      </c>
      <c r="C126" s="64">
        <f>IF('TEST CASES'!F128="", 0, LEN(TRIM('TEST CASES'!F128))-LEN(SUBSTITUTE('TEST CASES'!F128, CHAR(10), ""))+1)</f>
        <v>7</v>
      </c>
      <c r="E126" s="64" t="str">
        <f t="shared" si="1"/>
        <v>Open</v>
      </c>
      <c r="F126" s="64" t="str">
        <f>'TEST CASES'!H128</f>
        <v>Azhar</v>
      </c>
    </row>
    <row r="127" spans="1:6">
      <c r="A127" s="63">
        <f>'TEST CASES'!A129</f>
        <v>126</v>
      </c>
      <c r="B127" s="64" t="str">
        <f>'TEST CASES'!B129</f>
        <v>BYD009-18</v>
      </c>
      <c r="C127" s="64">
        <f>IF('TEST CASES'!F129="", 0, LEN(TRIM('TEST CASES'!F129))-LEN(SUBSTITUTE('TEST CASES'!F129, CHAR(10), ""))+1)</f>
        <v>2</v>
      </c>
      <c r="E127" s="64" t="str">
        <f t="shared" si="1"/>
        <v>Open</v>
      </c>
      <c r="F127" s="64" t="str">
        <f>'TEST CASES'!H129</f>
        <v>Azhar</v>
      </c>
    </row>
    <row r="128" spans="1:6">
      <c r="A128" s="63">
        <f>'TEST CASES'!A130</f>
        <v>127</v>
      </c>
      <c r="B128" s="64" t="str">
        <f>'TEST CASES'!B130</f>
        <v>BYD009-19</v>
      </c>
      <c r="C128" s="64">
        <f>IF('TEST CASES'!F130="", 0, LEN(TRIM('TEST CASES'!F130))-LEN(SUBSTITUTE('TEST CASES'!F130, CHAR(10), ""))+1)</f>
        <v>3</v>
      </c>
      <c r="E128" s="64" t="str">
        <f t="shared" si="1"/>
        <v>Open</v>
      </c>
      <c r="F128" s="64" t="str">
        <f>'TEST CASES'!H130</f>
        <v>Azhar</v>
      </c>
    </row>
    <row r="129" spans="1:6">
      <c r="A129" s="63">
        <f>'TEST CASES'!A131</f>
        <v>128</v>
      </c>
      <c r="B129" s="64" t="str">
        <f>'TEST CASES'!B131</f>
        <v>BYD010-01</v>
      </c>
      <c r="C129" s="64">
        <f>IF('TEST CASES'!F131="", 0, LEN(TRIM('TEST CASES'!F131))-LEN(SUBSTITUTE('TEST CASES'!F131, CHAR(10), ""))+1)</f>
        <v>5</v>
      </c>
      <c r="E129" s="64" t="str">
        <f t="shared" si="1"/>
        <v>Open</v>
      </c>
      <c r="F129" s="64" t="str">
        <f>'TEST CASES'!H131</f>
        <v>Affinia</v>
      </c>
    </row>
    <row r="130" spans="1:6">
      <c r="A130" s="63">
        <f>'TEST CASES'!A132</f>
        <v>129</v>
      </c>
      <c r="B130" s="64" t="str">
        <f>'TEST CASES'!B132</f>
        <v>BYD010-02</v>
      </c>
      <c r="C130" s="64">
        <f>IF('TEST CASES'!F132="", 0, LEN(TRIM('TEST CASES'!F132))-LEN(SUBSTITUTE('TEST CASES'!F132, CHAR(10), ""))+1)</f>
        <v>4</v>
      </c>
      <c r="E130" s="64" t="str">
        <f t="shared" si="1"/>
        <v>Open</v>
      </c>
      <c r="F130" s="64" t="str">
        <f>'TEST CASES'!H132</f>
        <v>Affinia</v>
      </c>
    </row>
    <row r="131" spans="1:6">
      <c r="A131" s="63">
        <f>'TEST CASES'!A133</f>
        <v>130</v>
      </c>
      <c r="B131" s="64" t="str">
        <f>'TEST CASES'!B133</f>
        <v>BYD010-03</v>
      </c>
      <c r="C131" s="64">
        <f>IF('TEST CASES'!F133="", 0, LEN(TRIM('TEST CASES'!F133))-LEN(SUBSTITUTE('TEST CASES'!F133, CHAR(10), ""))+1)</f>
        <v>3</v>
      </c>
      <c r="E131" s="64" t="str">
        <f t="shared" ref="E131:E194" si="2">IF(D131=0,"Open",IF(D131=C131,"Done","InProgress"))</f>
        <v>Open</v>
      </c>
      <c r="F131" s="64" t="str">
        <f>'TEST CASES'!H133</f>
        <v>Affinia</v>
      </c>
    </row>
    <row r="132" spans="1:6">
      <c r="A132" s="63">
        <f>'TEST CASES'!A134</f>
        <v>131</v>
      </c>
      <c r="B132" s="64" t="str">
        <f>'TEST CASES'!B134</f>
        <v>BYD010-04</v>
      </c>
      <c r="C132" s="64">
        <f>IF('TEST CASES'!F134="", 0, LEN(TRIM('TEST CASES'!F134))-LEN(SUBSTITUTE('TEST CASES'!F134, CHAR(10), ""))+1)</f>
        <v>7</v>
      </c>
      <c r="E132" s="64" t="str">
        <f t="shared" si="2"/>
        <v>Open</v>
      </c>
      <c r="F132" s="64" t="str">
        <f>'TEST CASES'!H134</f>
        <v>Affinia</v>
      </c>
    </row>
    <row r="133" spans="1:6">
      <c r="A133" s="63">
        <f>'TEST CASES'!A135</f>
        <v>132</v>
      </c>
      <c r="B133" s="64" t="str">
        <f>'TEST CASES'!B135</f>
        <v>BYD010-05</v>
      </c>
      <c r="C133" s="64">
        <f>IF('TEST CASES'!F135="", 0, LEN(TRIM('TEST CASES'!F135))-LEN(SUBSTITUTE('TEST CASES'!F135, CHAR(10), ""))+1)</f>
        <v>10</v>
      </c>
      <c r="E133" s="64" t="str">
        <f t="shared" si="2"/>
        <v>Open</v>
      </c>
      <c r="F133" s="64" t="str">
        <f>'TEST CASES'!H135</f>
        <v>Affinia</v>
      </c>
    </row>
    <row r="134" spans="1:6">
      <c r="A134" s="63">
        <f>'TEST CASES'!A136</f>
        <v>133</v>
      </c>
      <c r="B134" s="64" t="str">
        <f>'TEST CASES'!B136</f>
        <v>BYD010-06</v>
      </c>
      <c r="C134" s="64">
        <f>IF('TEST CASES'!F136="", 0, LEN(TRIM('TEST CASES'!F136))-LEN(SUBSTITUTE('TEST CASES'!F136, CHAR(10), ""))+1)</f>
        <v>9</v>
      </c>
      <c r="E134" s="64" t="str">
        <f t="shared" si="2"/>
        <v>Open</v>
      </c>
      <c r="F134" s="64" t="str">
        <f>'TEST CASES'!H136</f>
        <v>Affinia</v>
      </c>
    </row>
    <row r="135" spans="1:6">
      <c r="A135" s="63">
        <f>'TEST CASES'!A137</f>
        <v>134</v>
      </c>
      <c r="B135" s="64" t="str">
        <f>'TEST CASES'!B137</f>
        <v>BYD010-07</v>
      </c>
      <c r="C135" s="64">
        <f>IF('TEST CASES'!F137="", 0, LEN(TRIM('TEST CASES'!F137))-LEN(SUBSTITUTE('TEST CASES'!F137, CHAR(10), ""))+1)</f>
        <v>6</v>
      </c>
      <c r="E135" s="64" t="str">
        <f t="shared" si="2"/>
        <v>Open</v>
      </c>
      <c r="F135" s="64" t="str">
        <f>'TEST CASES'!H137</f>
        <v>Affinia</v>
      </c>
    </row>
    <row r="136" spans="1:6">
      <c r="A136" s="63">
        <f>'TEST CASES'!A138</f>
        <v>135</v>
      </c>
      <c r="B136" s="64" t="str">
        <f>'TEST CASES'!B138</f>
        <v>BYD010-08</v>
      </c>
      <c r="C136" s="64">
        <f>IF('TEST CASES'!F138="", 0, LEN(TRIM('TEST CASES'!F138))-LEN(SUBSTITUTE('TEST CASES'!F138, CHAR(10), ""))+1)</f>
        <v>4</v>
      </c>
      <c r="E136" s="64" t="str">
        <f t="shared" si="2"/>
        <v>Open</v>
      </c>
      <c r="F136" s="64" t="str">
        <f>'TEST CASES'!H138</f>
        <v>Affinia</v>
      </c>
    </row>
    <row r="137" spans="1:6">
      <c r="A137" s="63">
        <f>'TEST CASES'!A139</f>
        <v>136</v>
      </c>
      <c r="B137" s="64" t="str">
        <f>'TEST CASES'!B139</f>
        <v>BYD010-09</v>
      </c>
      <c r="C137" s="64">
        <f>IF('TEST CASES'!F139="", 0, LEN(TRIM('TEST CASES'!F139))-LEN(SUBSTITUTE('TEST CASES'!F139, CHAR(10), ""))+1)</f>
        <v>6</v>
      </c>
      <c r="E137" s="64" t="str">
        <f t="shared" si="2"/>
        <v>Open</v>
      </c>
      <c r="F137" s="64" t="str">
        <f>'TEST CASES'!H139</f>
        <v>Affinia</v>
      </c>
    </row>
    <row r="138" spans="1:6">
      <c r="A138" s="63">
        <f>'TEST CASES'!A140</f>
        <v>137</v>
      </c>
      <c r="B138" s="64" t="str">
        <f>'TEST CASES'!B140</f>
        <v>BYD010-10</v>
      </c>
      <c r="C138" s="64">
        <f>IF('TEST CASES'!F140="", 0, LEN(TRIM('TEST CASES'!F140))-LEN(SUBSTITUTE('TEST CASES'!F140, CHAR(10), ""))+1)</f>
        <v>7</v>
      </c>
      <c r="E138" s="64" t="str">
        <f t="shared" si="2"/>
        <v>Open</v>
      </c>
      <c r="F138" s="64" t="str">
        <f>'TEST CASES'!H140</f>
        <v>Affinia</v>
      </c>
    </row>
    <row r="139" spans="1:6">
      <c r="A139" s="63">
        <f>'TEST CASES'!A141</f>
        <v>138</v>
      </c>
      <c r="B139" s="64" t="str">
        <f>'TEST CASES'!B141</f>
        <v>BYD010-11</v>
      </c>
      <c r="C139" s="64">
        <f>IF('TEST CASES'!F141="", 0, LEN(TRIM('TEST CASES'!F141))-LEN(SUBSTITUTE('TEST CASES'!F141, CHAR(10), ""))+1)</f>
        <v>2</v>
      </c>
      <c r="E139" s="64" t="str">
        <f t="shared" si="2"/>
        <v>Open</v>
      </c>
      <c r="F139" s="64" t="str">
        <f>'TEST CASES'!H141</f>
        <v>Affinia</v>
      </c>
    </row>
    <row r="140" spans="1:6">
      <c r="A140" s="63">
        <f>'TEST CASES'!A142</f>
        <v>139</v>
      </c>
      <c r="B140" s="64" t="str">
        <f>'TEST CASES'!B142</f>
        <v>BYD010-12</v>
      </c>
      <c r="C140" s="64">
        <f>IF('TEST CASES'!F142="", 0, LEN(TRIM('TEST CASES'!F142))-LEN(SUBSTITUTE('TEST CASES'!F142, CHAR(10), ""))+1)</f>
        <v>3</v>
      </c>
      <c r="E140" s="64" t="str">
        <f t="shared" si="2"/>
        <v>Open</v>
      </c>
      <c r="F140" s="64" t="str">
        <f>'TEST CASES'!H142</f>
        <v>Affinia</v>
      </c>
    </row>
    <row r="141" spans="1:6">
      <c r="A141" s="63">
        <f>'TEST CASES'!A143</f>
        <v>140</v>
      </c>
      <c r="B141" s="64" t="str">
        <f>'TEST CASES'!B143</f>
        <v>BYD011-01</v>
      </c>
      <c r="C141" s="64">
        <f>IF('TEST CASES'!F143="", 0, LEN(TRIM('TEST CASES'!F143))-LEN(SUBSTITUTE('TEST CASES'!F143, CHAR(10), ""))+1)</f>
        <v>5</v>
      </c>
      <c r="E141" s="64" t="str">
        <f t="shared" si="2"/>
        <v>Open</v>
      </c>
      <c r="F141" s="64" t="str">
        <f>'TEST CASES'!H143</f>
        <v>Kevin</v>
      </c>
    </row>
    <row r="142" spans="1:6">
      <c r="A142" s="63">
        <f>'TEST CASES'!A144</f>
        <v>141</v>
      </c>
      <c r="B142" s="64" t="str">
        <f>'TEST CASES'!B144</f>
        <v>BYD011-02</v>
      </c>
      <c r="C142" s="64">
        <f>IF('TEST CASES'!F144="", 0, LEN(TRIM('TEST CASES'!F144))-LEN(SUBSTITUTE('TEST CASES'!F144, CHAR(10), ""))+1)</f>
        <v>4</v>
      </c>
      <c r="E142" s="64" t="str">
        <f t="shared" si="2"/>
        <v>Open</v>
      </c>
      <c r="F142" s="64" t="str">
        <f>'TEST CASES'!H144</f>
        <v>Kevin</v>
      </c>
    </row>
    <row r="143" spans="1:6">
      <c r="A143" s="63">
        <f>'TEST CASES'!A145</f>
        <v>142</v>
      </c>
      <c r="B143" s="64" t="str">
        <f>'TEST CASES'!B145</f>
        <v>BYD011-03</v>
      </c>
      <c r="C143" s="64">
        <f>IF('TEST CASES'!F145="", 0, LEN(TRIM('TEST CASES'!F145))-LEN(SUBSTITUTE('TEST CASES'!F145, CHAR(10), ""))+1)</f>
        <v>3</v>
      </c>
      <c r="E143" s="64" t="str">
        <f t="shared" si="2"/>
        <v>Open</v>
      </c>
      <c r="F143" s="64" t="str">
        <f>'TEST CASES'!H145</f>
        <v>Kevin</v>
      </c>
    </row>
    <row r="144" spans="1:6">
      <c r="A144" s="63">
        <f>'TEST CASES'!A146</f>
        <v>143</v>
      </c>
      <c r="B144" s="64" t="str">
        <f>'TEST CASES'!B146</f>
        <v>BYD011-04</v>
      </c>
      <c r="C144" s="64">
        <f>IF('TEST CASES'!F146="", 0, LEN(TRIM('TEST CASES'!F146))-LEN(SUBSTITUTE('TEST CASES'!F146, CHAR(10), ""))+1)</f>
        <v>7</v>
      </c>
      <c r="E144" s="64" t="str">
        <f t="shared" si="2"/>
        <v>Open</v>
      </c>
      <c r="F144" s="64" t="str">
        <f>'TEST CASES'!H146</f>
        <v>Kevin</v>
      </c>
    </row>
    <row r="145" spans="1:6">
      <c r="A145" s="63">
        <f>'TEST CASES'!A147</f>
        <v>144</v>
      </c>
      <c r="B145" s="64" t="str">
        <f>'TEST CASES'!B147</f>
        <v>BYD011-05</v>
      </c>
      <c r="C145" s="64">
        <f>IF('TEST CASES'!F147="", 0, LEN(TRIM('TEST CASES'!F147))-LEN(SUBSTITUTE('TEST CASES'!F147, CHAR(10), ""))+1)</f>
        <v>10</v>
      </c>
      <c r="E145" s="64" t="str">
        <f t="shared" si="2"/>
        <v>Open</v>
      </c>
      <c r="F145" s="64" t="str">
        <f>'TEST CASES'!H147</f>
        <v>Kevin</v>
      </c>
    </row>
    <row r="146" spans="1:6">
      <c r="A146" s="63">
        <f>'TEST CASES'!A148</f>
        <v>145</v>
      </c>
      <c r="B146" s="64" t="str">
        <f>'TEST CASES'!B148</f>
        <v>BYD011-06</v>
      </c>
      <c r="C146" s="64">
        <f>IF('TEST CASES'!F148="", 0, LEN(TRIM('TEST CASES'!F148))-LEN(SUBSTITUTE('TEST CASES'!F148, CHAR(10), ""))+1)</f>
        <v>9</v>
      </c>
      <c r="E146" s="64" t="str">
        <f t="shared" si="2"/>
        <v>Open</v>
      </c>
      <c r="F146" s="64" t="str">
        <f>'TEST CASES'!H148</f>
        <v>Kevin</v>
      </c>
    </row>
    <row r="147" spans="1:6">
      <c r="A147" s="63">
        <f>'TEST CASES'!A149</f>
        <v>146</v>
      </c>
      <c r="B147" s="64" t="str">
        <f>'TEST CASES'!B149</f>
        <v>BYD011-07</v>
      </c>
      <c r="C147" s="64">
        <f>IF('TEST CASES'!F149="", 0, LEN(TRIM('TEST CASES'!F149))-LEN(SUBSTITUTE('TEST CASES'!F149, CHAR(10), ""))+1)</f>
        <v>5</v>
      </c>
      <c r="E147" s="64" t="str">
        <f t="shared" si="2"/>
        <v>Open</v>
      </c>
      <c r="F147" s="64" t="str">
        <f>'TEST CASES'!H149</f>
        <v>Kevin</v>
      </c>
    </row>
    <row r="148" spans="1:6">
      <c r="A148" s="63">
        <f>'TEST CASES'!A150</f>
        <v>147</v>
      </c>
      <c r="B148" s="64" t="str">
        <f>'TEST CASES'!B150</f>
        <v>BYD011-08</v>
      </c>
      <c r="C148" s="64">
        <f>IF('TEST CASES'!F150="", 0, LEN(TRIM('TEST CASES'!F150))-LEN(SUBSTITUTE('TEST CASES'!F150, CHAR(10), ""))+1)</f>
        <v>4</v>
      </c>
      <c r="E148" s="64" t="str">
        <f t="shared" si="2"/>
        <v>Open</v>
      </c>
      <c r="F148" s="64" t="str">
        <f>'TEST CASES'!H150</f>
        <v>Kevin</v>
      </c>
    </row>
    <row r="149" spans="1:6">
      <c r="A149" s="63">
        <f>'TEST CASES'!A151</f>
        <v>148</v>
      </c>
      <c r="B149" s="64" t="str">
        <f>'TEST CASES'!B151</f>
        <v>BYD011-09</v>
      </c>
      <c r="C149" s="64">
        <f>IF('TEST CASES'!F151="", 0, LEN(TRIM('TEST CASES'!F151))-LEN(SUBSTITUTE('TEST CASES'!F151, CHAR(10), ""))+1)</f>
        <v>6</v>
      </c>
      <c r="E149" s="64" t="str">
        <f t="shared" si="2"/>
        <v>Open</v>
      </c>
      <c r="F149" s="64" t="str">
        <f>'TEST CASES'!H151</f>
        <v>Kevin</v>
      </c>
    </row>
    <row r="150" spans="1:6">
      <c r="A150" s="63">
        <f>'TEST CASES'!A152</f>
        <v>149</v>
      </c>
      <c r="B150" s="64" t="str">
        <f>'TEST CASES'!B152</f>
        <v>BYD011-10</v>
      </c>
      <c r="C150" s="64">
        <f>IF('TEST CASES'!F152="", 0, LEN(TRIM('TEST CASES'!F152))-LEN(SUBSTITUTE('TEST CASES'!F152, CHAR(10), ""))+1)</f>
        <v>7</v>
      </c>
      <c r="E150" s="64" t="str">
        <f t="shared" si="2"/>
        <v>Open</v>
      </c>
      <c r="F150" s="64" t="str">
        <f>'TEST CASES'!H152</f>
        <v>Kevin</v>
      </c>
    </row>
    <row r="151" spans="1:6">
      <c r="A151" s="63">
        <f>'TEST CASES'!A153</f>
        <v>150</v>
      </c>
      <c r="B151" s="64" t="str">
        <f>'TEST CASES'!B153</f>
        <v>BYD011-11</v>
      </c>
      <c r="C151" s="64">
        <f>IF('TEST CASES'!F153="", 0, LEN(TRIM('TEST CASES'!F153))-LEN(SUBSTITUTE('TEST CASES'!F153, CHAR(10), ""))+1)</f>
        <v>2</v>
      </c>
      <c r="E151" s="64" t="str">
        <f t="shared" si="2"/>
        <v>Open</v>
      </c>
      <c r="F151" s="64" t="str">
        <f>'TEST CASES'!H153</f>
        <v>Kevin</v>
      </c>
    </row>
    <row r="152" spans="1:6">
      <c r="A152" s="63">
        <f>'TEST CASES'!A154</f>
        <v>151</v>
      </c>
      <c r="B152" s="64" t="str">
        <f>'TEST CASES'!B154</f>
        <v>BYD011-12</v>
      </c>
      <c r="C152" s="64">
        <f>IF('TEST CASES'!F154="", 0, LEN(TRIM('TEST CASES'!F154))-LEN(SUBSTITUTE('TEST CASES'!F154, CHAR(10), ""))+1)</f>
        <v>3</v>
      </c>
      <c r="E152" s="64" t="str">
        <f t="shared" si="2"/>
        <v>Open</v>
      </c>
      <c r="F152" s="64" t="str">
        <f>'TEST CASES'!H154</f>
        <v>Kevin</v>
      </c>
    </row>
    <row r="153" spans="1:6">
      <c r="A153" s="63">
        <f>'TEST CASES'!A155</f>
        <v>152</v>
      </c>
      <c r="B153" s="64" t="str">
        <f>'TEST CASES'!B155</f>
        <v>BYD012-01</v>
      </c>
      <c r="C153" s="64">
        <f>IF('TEST CASES'!F155="", 0, LEN(TRIM('TEST CASES'!F155))-LEN(SUBSTITUTE('TEST CASES'!F155, CHAR(10), ""))+1)</f>
        <v>5</v>
      </c>
      <c r="E153" s="64" t="str">
        <f t="shared" si="2"/>
        <v>Open</v>
      </c>
      <c r="F153" s="64" t="str">
        <f>'TEST CASES'!H155</f>
        <v>Rasya</v>
      </c>
    </row>
    <row r="154" spans="1:6">
      <c r="A154" s="63">
        <f>'TEST CASES'!A156</f>
        <v>153</v>
      </c>
      <c r="B154" s="64" t="str">
        <f>'TEST CASES'!B156</f>
        <v>BYD012-02</v>
      </c>
      <c r="C154" s="64">
        <f>IF('TEST CASES'!F156="", 0, LEN(TRIM('TEST CASES'!F156))-LEN(SUBSTITUTE('TEST CASES'!F156, CHAR(10), ""))+1)</f>
        <v>3</v>
      </c>
      <c r="E154" s="64" t="str">
        <f t="shared" si="2"/>
        <v>Open</v>
      </c>
      <c r="F154" s="64" t="str">
        <f>'TEST CASES'!H156</f>
        <v>Rasya</v>
      </c>
    </row>
    <row r="155" spans="1:6">
      <c r="A155" s="63">
        <f>'TEST CASES'!A157</f>
        <v>154</v>
      </c>
      <c r="B155" s="64" t="str">
        <f>'TEST CASES'!B157</f>
        <v>BYD012-03</v>
      </c>
      <c r="C155" s="64">
        <f>IF('TEST CASES'!F157="", 0, LEN(TRIM('TEST CASES'!F157))-LEN(SUBSTITUTE('TEST CASES'!F157, CHAR(10), ""))+1)</f>
        <v>7</v>
      </c>
      <c r="E155" s="64" t="str">
        <f t="shared" si="2"/>
        <v>Open</v>
      </c>
      <c r="F155" s="64" t="str">
        <f>'TEST CASES'!H157</f>
        <v>Rasya</v>
      </c>
    </row>
    <row r="156" spans="1:6">
      <c r="A156" s="63">
        <f>'TEST CASES'!A158</f>
        <v>155</v>
      </c>
      <c r="B156" s="64" t="str">
        <f>'TEST CASES'!B158</f>
        <v>BYD012-04</v>
      </c>
      <c r="C156" s="64">
        <f>IF('TEST CASES'!F158="", 0, LEN(TRIM('TEST CASES'!F158))-LEN(SUBSTITUTE('TEST CASES'!F158, CHAR(10), ""))+1)</f>
        <v>10</v>
      </c>
      <c r="E156" s="64" t="str">
        <f t="shared" si="2"/>
        <v>Open</v>
      </c>
      <c r="F156" s="64" t="str">
        <f>'TEST CASES'!H158</f>
        <v>Rasya</v>
      </c>
    </row>
    <row r="157" spans="1:6">
      <c r="A157" s="63">
        <f>'TEST CASES'!A159</f>
        <v>156</v>
      </c>
      <c r="B157" s="64" t="str">
        <f>'TEST CASES'!B159</f>
        <v>BYD012-05</v>
      </c>
      <c r="C157" s="64">
        <f>IF('TEST CASES'!F159="", 0, LEN(TRIM('TEST CASES'!F159))-LEN(SUBSTITUTE('TEST CASES'!F159, CHAR(10), ""))+1)</f>
        <v>9</v>
      </c>
      <c r="E157" s="64" t="str">
        <f t="shared" si="2"/>
        <v>Open</v>
      </c>
      <c r="F157" s="64" t="str">
        <f>'TEST CASES'!H159</f>
        <v>Rasya</v>
      </c>
    </row>
    <row r="158" spans="1:6">
      <c r="A158" s="63">
        <f>'TEST CASES'!A160</f>
        <v>157</v>
      </c>
      <c r="B158" s="64" t="str">
        <f>'TEST CASES'!B160</f>
        <v>BYD012-06</v>
      </c>
      <c r="C158" s="64">
        <f>IF('TEST CASES'!F160="", 0, LEN(TRIM('TEST CASES'!F160))-LEN(SUBSTITUTE('TEST CASES'!F160, CHAR(10), ""))+1)</f>
        <v>5</v>
      </c>
      <c r="E158" s="64" t="str">
        <f t="shared" si="2"/>
        <v>Open</v>
      </c>
      <c r="F158" s="64" t="str">
        <f>'TEST CASES'!H160</f>
        <v>Rasya</v>
      </c>
    </row>
    <row r="159" spans="1:6">
      <c r="A159" s="63">
        <f>'TEST CASES'!A161</f>
        <v>158</v>
      </c>
      <c r="B159" s="64" t="str">
        <f>'TEST CASES'!B161</f>
        <v>BYD012-07</v>
      </c>
      <c r="C159" s="64">
        <f>IF('TEST CASES'!F161="", 0, LEN(TRIM('TEST CASES'!F161))-LEN(SUBSTITUTE('TEST CASES'!F161, CHAR(10), ""))+1)</f>
        <v>3</v>
      </c>
      <c r="E159" s="64" t="str">
        <f t="shared" si="2"/>
        <v>Open</v>
      </c>
      <c r="F159" s="64" t="str">
        <f>'TEST CASES'!H161</f>
        <v>Rasya</v>
      </c>
    </row>
    <row r="160" spans="1:6">
      <c r="A160" s="63">
        <f>'TEST CASES'!A162</f>
        <v>159</v>
      </c>
      <c r="B160" s="64" t="str">
        <f>'TEST CASES'!B162</f>
        <v>BYD012-08</v>
      </c>
      <c r="C160" s="64">
        <f>IF('TEST CASES'!F162="", 0, LEN(TRIM('TEST CASES'!F162))-LEN(SUBSTITUTE('TEST CASES'!F162, CHAR(10), ""))+1)</f>
        <v>5</v>
      </c>
      <c r="E160" s="64" t="str">
        <f t="shared" si="2"/>
        <v>Open</v>
      </c>
      <c r="F160" s="64" t="str">
        <f>'TEST CASES'!H162</f>
        <v>Rasya</v>
      </c>
    </row>
    <row r="161" spans="1:6">
      <c r="A161" s="63">
        <f>'TEST CASES'!A163</f>
        <v>160</v>
      </c>
      <c r="B161" s="64" t="str">
        <f>'TEST CASES'!B163</f>
        <v>BYD012-09</v>
      </c>
      <c r="C161" s="64">
        <f>IF('TEST CASES'!F163="", 0, LEN(TRIM('TEST CASES'!F163))-LEN(SUBSTITUTE('TEST CASES'!F163, CHAR(10), ""))+1)</f>
        <v>4</v>
      </c>
      <c r="E161" s="64" t="str">
        <f t="shared" si="2"/>
        <v>Open</v>
      </c>
      <c r="F161" s="64" t="str">
        <f>'TEST CASES'!H163</f>
        <v>Rasya</v>
      </c>
    </row>
    <row r="162" spans="1:6">
      <c r="A162" s="63">
        <f>'TEST CASES'!A164</f>
        <v>161</v>
      </c>
      <c r="B162" s="64" t="str">
        <f>'TEST CASES'!B164</f>
        <v>BYD012-10</v>
      </c>
      <c r="C162" s="64">
        <f>IF('TEST CASES'!F164="", 0, LEN(TRIM('TEST CASES'!F164))-LEN(SUBSTITUTE('TEST CASES'!F164, CHAR(10), ""))+1)</f>
        <v>6</v>
      </c>
      <c r="E162" s="64" t="str">
        <f t="shared" si="2"/>
        <v>Open</v>
      </c>
      <c r="F162" s="64" t="str">
        <f>'TEST CASES'!H164</f>
        <v>Rasya</v>
      </c>
    </row>
    <row r="163" spans="1:6">
      <c r="A163" s="63">
        <f>'TEST CASES'!A165</f>
        <v>162</v>
      </c>
      <c r="B163" s="64" t="str">
        <f>'TEST CASES'!B165</f>
        <v>BYD012-11</v>
      </c>
      <c r="C163" s="64">
        <f>IF('TEST CASES'!F165="", 0, LEN(TRIM('TEST CASES'!F165))-LEN(SUBSTITUTE('TEST CASES'!F165, CHAR(10), ""))+1)</f>
        <v>7</v>
      </c>
      <c r="E163" s="64" t="str">
        <f t="shared" si="2"/>
        <v>Open</v>
      </c>
      <c r="F163" s="64" t="str">
        <f>'TEST CASES'!H165</f>
        <v>Rasya</v>
      </c>
    </row>
    <row r="164" spans="1:6">
      <c r="A164" s="63">
        <f>'TEST CASES'!A166</f>
        <v>163</v>
      </c>
      <c r="B164" s="64" t="str">
        <f>'TEST CASES'!B166</f>
        <v>BYD012-12</v>
      </c>
      <c r="C164" s="64">
        <f>IF('TEST CASES'!F166="", 0, LEN(TRIM('TEST CASES'!F166))-LEN(SUBSTITUTE('TEST CASES'!F166, CHAR(10), ""))+1)</f>
        <v>2</v>
      </c>
      <c r="E164" s="64" t="str">
        <f t="shared" si="2"/>
        <v>Open</v>
      </c>
      <c r="F164" s="64" t="str">
        <f>'TEST CASES'!H166</f>
        <v>Rasya</v>
      </c>
    </row>
    <row r="165" spans="1:6">
      <c r="A165" s="63">
        <f>'TEST CASES'!A167</f>
        <v>164</v>
      </c>
      <c r="B165" s="64" t="str">
        <f>'TEST CASES'!B167</f>
        <v>BYD012-13</v>
      </c>
      <c r="C165" s="64">
        <f>IF('TEST CASES'!F167="", 0, LEN(TRIM('TEST CASES'!F167))-LEN(SUBSTITUTE('TEST CASES'!F167, CHAR(10), ""))+1)</f>
        <v>3</v>
      </c>
      <c r="E165" s="64" t="str">
        <f t="shared" si="2"/>
        <v>Open</v>
      </c>
      <c r="F165" s="64" t="str">
        <f>'TEST CASES'!H167</f>
        <v>Rasya</v>
      </c>
    </row>
    <row r="166" spans="1:6">
      <c r="A166" s="63">
        <f>'TEST CASES'!A168</f>
        <v>187</v>
      </c>
      <c r="B166" s="64" t="str">
        <f>'TEST CASES'!B168</f>
        <v>BYD013-01</v>
      </c>
      <c r="C166" s="64">
        <f>IF('TEST CASES'!F168="", 0, LEN(TRIM('TEST CASES'!F168))-LEN(SUBSTITUTE('TEST CASES'!F168, CHAR(10), ""))+1)</f>
        <v>5</v>
      </c>
      <c r="E166" s="64" t="str">
        <f t="shared" si="2"/>
        <v>Open</v>
      </c>
      <c r="F166" s="64" t="str">
        <f>'TEST CASES'!H168</f>
        <v>Azhar</v>
      </c>
    </row>
    <row r="167" spans="1:6">
      <c r="A167" s="63">
        <f>'TEST CASES'!A169</f>
        <v>188</v>
      </c>
      <c r="B167" s="64" t="str">
        <f>'TEST CASES'!B169</f>
        <v>BYD013-02</v>
      </c>
      <c r="C167" s="64">
        <f>IF('TEST CASES'!F169="", 0, LEN(TRIM('TEST CASES'!F169))-LEN(SUBSTITUTE('TEST CASES'!F169, CHAR(10), ""))+1)</f>
        <v>3</v>
      </c>
      <c r="E167" s="64" t="str">
        <f t="shared" si="2"/>
        <v>Open</v>
      </c>
      <c r="F167" s="64" t="str">
        <f>'TEST CASES'!H169</f>
        <v>Azhar</v>
      </c>
    </row>
    <row r="168" spans="1:6">
      <c r="A168" s="63">
        <f>'TEST CASES'!A170</f>
        <v>189</v>
      </c>
      <c r="B168" s="64" t="str">
        <f>'TEST CASES'!B170</f>
        <v>BYD013-03</v>
      </c>
      <c r="C168" s="64">
        <f>IF('TEST CASES'!F170="", 0, LEN(TRIM('TEST CASES'!F170))-LEN(SUBSTITUTE('TEST CASES'!F170, CHAR(10), ""))+1)</f>
        <v>7</v>
      </c>
      <c r="E168" s="64" t="str">
        <f t="shared" si="2"/>
        <v>Open</v>
      </c>
      <c r="F168" s="64" t="str">
        <f>'TEST CASES'!H170</f>
        <v>Azhar</v>
      </c>
    </row>
    <row r="169" spans="1:6">
      <c r="A169" s="63">
        <f>'TEST CASES'!A171</f>
        <v>190</v>
      </c>
      <c r="B169" s="64" t="str">
        <f>'TEST CASES'!B171</f>
        <v>BYD013-04</v>
      </c>
      <c r="C169" s="64">
        <f>IF('TEST CASES'!F171="", 0, LEN(TRIM('TEST CASES'!F171))-LEN(SUBSTITUTE('TEST CASES'!F171, CHAR(10), ""))+1)</f>
        <v>10</v>
      </c>
      <c r="E169" s="64" t="str">
        <f t="shared" si="2"/>
        <v>Open</v>
      </c>
      <c r="F169" s="64" t="str">
        <f>'TEST CASES'!H171</f>
        <v>Azhar</v>
      </c>
    </row>
    <row r="170" spans="1:6">
      <c r="A170" s="63">
        <f>'TEST CASES'!A172</f>
        <v>191</v>
      </c>
      <c r="B170" s="64" t="str">
        <f>'TEST CASES'!B172</f>
        <v>BYD013-05</v>
      </c>
      <c r="C170" s="64">
        <f>IF('TEST CASES'!F172="", 0, LEN(TRIM('TEST CASES'!F172))-LEN(SUBSTITUTE('TEST CASES'!F172, CHAR(10), ""))+1)</f>
        <v>9</v>
      </c>
      <c r="E170" s="64" t="str">
        <f t="shared" si="2"/>
        <v>Open</v>
      </c>
      <c r="F170" s="64" t="str">
        <f>'TEST CASES'!H172</f>
        <v>Azhar</v>
      </c>
    </row>
    <row r="171" spans="1:6">
      <c r="A171" s="63">
        <f>'TEST CASES'!A173</f>
        <v>192</v>
      </c>
      <c r="B171" s="64" t="str">
        <f>'TEST CASES'!B173</f>
        <v>BYD013-06</v>
      </c>
      <c r="C171" s="64">
        <f>IF('TEST CASES'!F173="", 0, LEN(TRIM('TEST CASES'!F173))-LEN(SUBSTITUTE('TEST CASES'!F173, CHAR(10), ""))+1)</f>
        <v>6</v>
      </c>
      <c r="E171" s="64" t="str">
        <f t="shared" si="2"/>
        <v>Open</v>
      </c>
      <c r="F171" s="64" t="str">
        <f>'TEST CASES'!H173</f>
        <v>Azhar</v>
      </c>
    </row>
    <row r="172" spans="1:6">
      <c r="A172" s="63">
        <f>'TEST CASES'!A174</f>
        <v>193</v>
      </c>
      <c r="B172" s="64" t="str">
        <f>'TEST CASES'!B174</f>
        <v>BYD013-07</v>
      </c>
      <c r="C172" s="64">
        <f>IF('TEST CASES'!F174="", 0, LEN(TRIM('TEST CASES'!F174))-LEN(SUBSTITUTE('TEST CASES'!F174, CHAR(10), ""))+1)</f>
        <v>4</v>
      </c>
      <c r="E172" s="64" t="str">
        <f t="shared" si="2"/>
        <v>Open</v>
      </c>
      <c r="F172" s="64" t="str">
        <f>'TEST CASES'!H174</f>
        <v>Azhar</v>
      </c>
    </row>
    <row r="173" spans="1:6">
      <c r="A173" s="63">
        <f>'TEST CASES'!A175</f>
        <v>194</v>
      </c>
      <c r="B173" s="64" t="str">
        <f>'TEST CASES'!B175</f>
        <v>BYD013-08</v>
      </c>
      <c r="C173" s="64">
        <f>IF('TEST CASES'!F175="", 0, LEN(TRIM('TEST CASES'!F175))-LEN(SUBSTITUTE('TEST CASES'!F175, CHAR(10), ""))+1)</f>
        <v>6</v>
      </c>
      <c r="E173" s="64" t="str">
        <f t="shared" si="2"/>
        <v>Open</v>
      </c>
      <c r="F173" s="64" t="str">
        <f>'TEST CASES'!H175</f>
        <v>Azhar</v>
      </c>
    </row>
    <row r="174" spans="1:6">
      <c r="A174" s="63">
        <f>'TEST CASES'!A176</f>
        <v>195</v>
      </c>
      <c r="B174" s="64" t="str">
        <f>'TEST CASES'!B176</f>
        <v>BYD013-09</v>
      </c>
      <c r="C174" s="64">
        <f>IF('TEST CASES'!F176="", 0, LEN(TRIM('TEST CASES'!F176))-LEN(SUBSTITUTE('TEST CASES'!F176, CHAR(10), ""))+1)</f>
        <v>7</v>
      </c>
      <c r="E174" s="64" t="str">
        <f t="shared" si="2"/>
        <v>Open</v>
      </c>
      <c r="F174" s="64" t="str">
        <f>'TEST CASES'!H176</f>
        <v>Azhar</v>
      </c>
    </row>
    <row r="175" spans="1:6">
      <c r="A175" s="63">
        <f>'TEST CASES'!A177</f>
        <v>196</v>
      </c>
      <c r="B175" s="64" t="str">
        <f>'TEST CASES'!B177</f>
        <v>BYD013-10</v>
      </c>
      <c r="C175" s="64">
        <f>IF('TEST CASES'!F177="", 0, LEN(TRIM('TEST CASES'!F177))-LEN(SUBSTITUTE('TEST CASES'!F177, CHAR(10), ""))+1)</f>
        <v>2</v>
      </c>
      <c r="E175" s="64" t="str">
        <f t="shared" si="2"/>
        <v>Open</v>
      </c>
      <c r="F175" s="64" t="str">
        <f>'TEST CASES'!H177</f>
        <v>Azhar</v>
      </c>
    </row>
    <row r="176" spans="1:6">
      <c r="A176" s="63">
        <f>'TEST CASES'!A178</f>
        <v>197</v>
      </c>
      <c r="B176" s="64" t="str">
        <f>'TEST CASES'!B178</f>
        <v>BYD013-11</v>
      </c>
      <c r="C176" s="64">
        <f>IF('TEST CASES'!F178="", 0, LEN(TRIM('TEST CASES'!F178))-LEN(SUBSTITUTE('TEST CASES'!F178, CHAR(10), ""))+1)</f>
        <v>3</v>
      </c>
      <c r="E176" s="64" t="str">
        <f t="shared" si="2"/>
        <v>Open</v>
      </c>
      <c r="F176" s="64" t="str">
        <f>'TEST CASES'!H178</f>
        <v>Azhar</v>
      </c>
    </row>
    <row r="177" spans="1:6">
      <c r="A177" s="63">
        <f>'TEST CASES'!A179</f>
        <v>198</v>
      </c>
      <c r="B177" s="64" t="str">
        <f>'TEST CASES'!B179</f>
        <v>BYD014-01</v>
      </c>
      <c r="C177" s="64">
        <f>IF('TEST CASES'!F179="", 0, LEN(TRIM('TEST CASES'!F179))-LEN(SUBSTITUTE('TEST CASES'!F179, CHAR(10), ""))+1)</f>
        <v>5</v>
      </c>
      <c r="E177" s="64" t="str">
        <f t="shared" si="2"/>
        <v>Open</v>
      </c>
      <c r="F177" s="64" t="str">
        <f>'TEST CASES'!H179</f>
        <v>Affinia</v>
      </c>
    </row>
    <row r="178" spans="1:6">
      <c r="A178" s="63">
        <f>'TEST CASES'!A180</f>
        <v>199</v>
      </c>
      <c r="B178" s="64" t="str">
        <f>'TEST CASES'!B180</f>
        <v>BYD014-02</v>
      </c>
      <c r="C178" s="64">
        <f>IF('TEST CASES'!F180="", 0, LEN(TRIM('TEST CASES'!F180))-LEN(SUBSTITUTE('TEST CASES'!F180, CHAR(10), ""))+1)</f>
        <v>3</v>
      </c>
      <c r="E178" s="64" t="str">
        <f t="shared" si="2"/>
        <v>Open</v>
      </c>
      <c r="F178" s="64" t="str">
        <f>'TEST CASES'!H180</f>
        <v>Affinia</v>
      </c>
    </row>
    <row r="179" spans="1:6">
      <c r="A179" s="63">
        <f>'TEST CASES'!A181</f>
        <v>200</v>
      </c>
      <c r="B179" s="64" t="str">
        <f>'TEST CASES'!B181</f>
        <v>BYD014-03</v>
      </c>
      <c r="C179" s="64">
        <f>IF('TEST CASES'!F181="", 0, LEN(TRIM('TEST CASES'!F181))-LEN(SUBSTITUTE('TEST CASES'!F181, CHAR(10), ""))+1)</f>
        <v>7</v>
      </c>
      <c r="E179" s="64" t="str">
        <f t="shared" si="2"/>
        <v>Open</v>
      </c>
      <c r="F179" s="64" t="str">
        <f>'TEST CASES'!H181</f>
        <v>Affinia</v>
      </c>
    </row>
    <row r="180" spans="1:6">
      <c r="A180" s="63">
        <f>'TEST CASES'!A182</f>
        <v>201</v>
      </c>
      <c r="B180" s="64" t="str">
        <f>'TEST CASES'!B182</f>
        <v>BYD014-04</v>
      </c>
      <c r="C180" s="64">
        <f>IF('TEST CASES'!F182="", 0, LEN(TRIM('TEST CASES'!F182))-LEN(SUBSTITUTE('TEST CASES'!F182, CHAR(10), ""))+1)</f>
        <v>10</v>
      </c>
      <c r="E180" s="64" t="str">
        <f t="shared" si="2"/>
        <v>Open</v>
      </c>
      <c r="F180" s="64" t="str">
        <f>'TEST CASES'!H182</f>
        <v>Affinia</v>
      </c>
    </row>
    <row r="181" spans="1:6">
      <c r="A181" s="63">
        <f>'TEST CASES'!A183</f>
        <v>202</v>
      </c>
      <c r="B181" s="64" t="str">
        <f>'TEST CASES'!B183</f>
        <v>BYD014-05</v>
      </c>
      <c r="C181" s="64">
        <f>IF('TEST CASES'!F183="", 0, LEN(TRIM('TEST CASES'!F183))-LEN(SUBSTITUTE('TEST CASES'!F183, CHAR(10), ""))+1)</f>
        <v>9</v>
      </c>
      <c r="E181" s="64" t="str">
        <f t="shared" si="2"/>
        <v>Open</v>
      </c>
      <c r="F181" s="64" t="str">
        <f>'TEST CASES'!H183</f>
        <v>Affinia</v>
      </c>
    </row>
    <row r="182" spans="1:6">
      <c r="A182" s="63">
        <f>'TEST CASES'!A184</f>
        <v>203</v>
      </c>
      <c r="B182" s="64" t="str">
        <f>'TEST CASES'!B184</f>
        <v>BYD014-06</v>
      </c>
      <c r="C182" s="64">
        <f>IF('TEST CASES'!F184="", 0, LEN(TRIM('TEST CASES'!F184))-LEN(SUBSTITUTE('TEST CASES'!F184, CHAR(10), ""))+1)</f>
        <v>5</v>
      </c>
      <c r="E182" s="64" t="str">
        <f t="shared" si="2"/>
        <v>Open</v>
      </c>
      <c r="F182" s="64" t="str">
        <f>'TEST CASES'!H184</f>
        <v>Affinia</v>
      </c>
    </row>
    <row r="183" spans="1:6">
      <c r="A183" s="63">
        <f>'TEST CASES'!A185</f>
        <v>204</v>
      </c>
      <c r="B183" s="64" t="str">
        <f>'TEST CASES'!B185</f>
        <v>BYD014-07</v>
      </c>
      <c r="C183" s="64">
        <f>IF('TEST CASES'!F185="", 0, LEN(TRIM('TEST CASES'!F185))-LEN(SUBSTITUTE('TEST CASES'!F185, CHAR(10), ""))+1)</f>
        <v>4</v>
      </c>
      <c r="E183" s="64" t="str">
        <f t="shared" si="2"/>
        <v>Open</v>
      </c>
      <c r="F183" s="64" t="str">
        <f>'TEST CASES'!H185</f>
        <v>Affinia</v>
      </c>
    </row>
    <row r="184" spans="1:6">
      <c r="A184" s="63">
        <f>'TEST CASES'!A186</f>
        <v>205</v>
      </c>
      <c r="B184" s="64" t="str">
        <f>'TEST CASES'!B186</f>
        <v>BYD014-08</v>
      </c>
      <c r="C184" s="64">
        <f>IF('TEST CASES'!F186="", 0, LEN(TRIM('TEST CASES'!F186))-LEN(SUBSTITUTE('TEST CASES'!F186, CHAR(10), ""))+1)</f>
        <v>4</v>
      </c>
      <c r="E184" s="64" t="str">
        <f t="shared" si="2"/>
        <v>Open</v>
      </c>
      <c r="F184" s="64" t="str">
        <f>'TEST CASES'!H186</f>
        <v>Affinia</v>
      </c>
    </row>
    <row r="185" spans="1:6">
      <c r="A185" s="63">
        <f>'TEST CASES'!A187</f>
        <v>206</v>
      </c>
      <c r="B185" s="64" t="str">
        <f>'TEST CASES'!B187</f>
        <v>BYD014-09</v>
      </c>
      <c r="C185" s="64">
        <f>IF('TEST CASES'!F187="", 0, LEN(TRIM('TEST CASES'!F187))-LEN(SUBSTITUTE('TEST CASES'!F187, CHAR(10), ""))+1)</f>
        <v>2</v>
      </c>
      <c r="E185" s="64" t="str">
        <f t="shared" si="2"/>
        <v>Open</v>
      </c>
      <c r="F185" s="64" t="str">
        <f>'TEST CASES'!H187</f>
        <v>Affinia</v>
      </c>
    </row>
    <row r="186" spans="1:6">
      <c r="A186" s="63">
        <f>'TEST CASES'!A188</f>
        <v>207</v>
      </c>
      <c r="B186" s="64" t="str">
        <f>'TEST CASES'!B188</f>
        <v>BYD014-10</v>
      </c>
      <c r="C186" s="64">
        <f>IF('TEST CASES'!F188="", 0, LEN(TRIM('TEST CASES'!F188))-LEN(SUBSTITUTE('TEST CASES'!F188, CHAR(10), ""))+1)</f>
        <v>3</v>
      </c>
      <c r="E186" s="64" t="str">
        <f t="shared" si="2"/>
        <v>Open</v>
      </c>
      <c r="F186" s="64" t="str">
        <f>'TEST CASES'!H188</f>
        <v>Affinia</v>
      </c>
    </row>
    <row r="187" spans="1:6">
      <c r="A187" s="63">
        <f>'TEST CASES'!A189</f>
        <v>208</v>
      </c>
      <c r="B187" s="64" t="str">
        <f>'TEST CASES'!B189</f>
        <v>BYD014-11</v>
      </c>
      <c r="C187" s="64">
        <f>IF('TEST CASES'!F189="", 0, LEN(TRIM('TEST CASES'!F189))-LEN(SUBSTITUTE('TEST CASES'!F189, CHAR(10), ""))+1)</f>
        <v>5</v>
      </c>
      <c r="E187" s="64" t="str">
        <f t="shared" si="2"/>
        <v>Open</v>
      </c>
      <c r="F187" s="64" t="str">
        <f>'TEST CASES'!H189</f>
        <v>Affinia</v>
      </c>
    </row>
    <row r="188" spans="1:6">
      <c r="A188" s="63">
        <f>'TEST CASES'!A190</f>
        <v>209</v>
      </c>
      <c r="B188" s="64" t="str">
        <f>'TEST CASES'!B190</f>
        <v>BYD014-12</v>
      </c>
      <c r="C188" s="64">
        <f>IF('TEST CASES'!F190="", 0, LEN(TRIM('TEST CASES'!F190))-LEN(SUBSTITUTE('TEST CASES'!F190, CHAR(10), ""))+1)</f>
        <v>4</v>
      </c>
      <c r="E188" s="64" t="str">
        <f t="shared" si="2"/>
        <v>Open</v>
      </c>
      <c r="F188" s="64" t="str">
        <f>'TEST CASES'!H190</f>
        <v>Affinia</v>
      </c>
    </row>
    <row r="189" spans="1:6">
      <c r="A189" s="63">
        <f>'TEST CASES'!A191</f>
        <v>210</v>
      </c>
      <c r="B189" s="64" t="str">
        <f>'TEST CASES'!B191</f>
        <v>BYD014-13</v>
      </c>
      <c r="C189" s="64">
        <f>IF('TEST CASES'!F191="", 0, LEN(TRIM('TEST CASES'!F191))-LEN(SUBSTITUTE('TEST CASES'!F191, CHAR(10), ""))+1)</f>
        <v>6</v>
      </c>
      <c r="E189" s="64" t="str">
        <f t="shared" si="2"/>
        <v>Open</v>
      </c>
      <c r="F189" s="64" t="str">
        <f>'TEST CASES'!H191</f>
        <v>Affinia</v>
      </c>
    </row>
    <row r="190" spans="1:6">
      <c r="A190" s="63">
        <f>'TEST CASES'!A192</f>
        <v>211</v>
      </c>
      <c r="B190" s="64" t="str">
        <f>'TEST CASES'!B192</f>
        <v>BYD014-14</v>
      </c>
      <c r="C190" s="64">
        <f>IF('TEST CASES'!F192="", 0, LEN(TRIM('TEST CASES'!F192))-LEN(SUBSTITUTE('TEST CASES'!F192, CHAR(10), ""))+1)</f>
        <v>7</v>
      </c>
      <c r="E190" s="64" t="str">
        <f t="shared" si="2"/>
        <v>Open</v>
      </c>
      <c r="F190" s="64" t="str">
        <f>'TEST CASES'!H192</f>
        <v>Affinia</v>
      </c>
    </row>
    <row r="191" spans="1:6">
      <c r="A191" s="63">
        <f>'TEST CASES'!A193</f>
        <v>212</v>
      </c>
      <c r="B191" s="64" t="str">
        <f>'TEST CASES'!B193</f>
        <v>BYD014-15</v>
      </c>
      <c r="C191" s="64">
        <f>IF('TEST CASES'!F193="", 0, LEN(TRIM('TEST CASES'!F193))-LEN(SUBSTITUTE('TEST CASES'!F193, CHAR(10), ""))+1)</f>
        <v>2</v>
      </c>
      <c r="E191" s="64" t="str">
        <f t="shared" si="2"/>
        <v>Open</v>
      </c>
      <c r="F191" s="64" t="str">
        <f>'TEST CASES'!H193</f>
        <v>Affinia</v>
      </c>
    </row>
    <row r="192" spans="1:6">
      <c r="A192" s="63">
        <f>'TEST CASES'!A194</f>
        <v>213</v>
      </c>
      <c r="B192" s="64" t="str">
        <f>'TEST CASES'!B194</f>
        <v>BYD014-16</v>
      </c>
      <c r="C192" s="64">
        <f>IF('TEST CASES'!F194="", 0, LEN(TRIM('TEST CASES'!F194))-LEN(SUBSTITUTE('TEST CASES'!F194, CHAR(10), ""))+1)</f>
        <v>3</v>
      </c>
      <c r="E192" s="64" t="str">
        <f t="shared" si="2"/>
        <v>Open</v>
      </c>
      <c r="F192" s="64" t="str">
        <f>'TEST CASES'!H194</f>
        <v>Affinia</v>
      </c>
    </row>
    <row r="193" spans="1:6">
      <c r="A193" s="63">
        <f>'TEST CASES'!A195</f>
        <v>214</v>
      </c>
      <c r="B193" s="64" t="str">
        <f>'TEST CASES'!B195</f>
        <v>BYD015-01</v>
      </c>
      <c r="C193" s="64">
        <f>IF('TEST CASES'!F195="", 0, LEN(TRIM('TEST CASES'!F195))-LEN(SUBSTITUTE('TEST CASES'!F195, CHAR(10), ""))+1)</f>
        <v>5</v>
      </c>
      <c r="E193" s="64" t="str">
        <f t="shared" si="2"/>
        <v>Open</v>
      </c>
      <c r="F193" s="64" t="str">
        <f>'TEST CASES'!H195</f>
        <v>Kevin</v>
      </c>
    </row>
    <row r="194" spans="1:6">
      <c r="A194" s="63">
        <f>'TEST CASES'!A196</f>
        <v>215</v>
      </c>
      <c r="B194" s="64" t="str">
        <f>'TEST CASES'!B196</f>
        <v>BYD015-02</v>
      </c>
      <c r="C194" s="64">
        <f>IF('TEST CASES'!F196="", 0, LEN(TRIM('TEST CASES'!F196))-LEN(SUBSTITUTE('TEST CASES'!F196, CHAR(10), ""))+1)</f>
        <v>3</v>
      </c>
      <c r="E194" s="64" t="str">
        <f t="shared" si="2"/>
        <v>Open</v>
      </c>
      <c r="F194" s="64" t="str">
        <f>'TEST CASES'!H196</f>
        <v>Kevin</v>
      </c>
    </row>
    <row r="195" spans="1:6">
      <c r="A195" s="63">
        <f>'TEST CASES'!A197</f>
        <v>216</v>
      </c>
      <c r="B195" s="64" t="str">
        <f>'TEST CASES'!B197</f>
        <v>BYD015-03</v>
      </c>
      <c r="C195" s="64">
        <f>IF('TEST CASES'!F197="", 0, LEN(TRIM('TEST CASES'!F197))-LEN(SUBSTITUTE('TEST CASES'!F197, CHAR(10), ""))+1)</f>
        <v>7</v>
      </c>
      <c r="E195" s="64" t="str">
        <f t="shared" ref="E195:E258" si="3">IF(D195=0,"Open",IF(D195=C195,"Done","InProgress"))</f>
        <v>Open</v>
      </c>
      <c r="F195" s="64" t="str">
        <f>'TEST CASES'!H197</f>
        <v>Kevin</v>
      </c>
    </row>
    <row r="196" spans="1:6">
      <c r="A196" s="63">
        <f>'TEST CASES'!A198</f>
        <v>217</v>
      </c>
      <c r="B196" s="64" t="str">
        <f>'TEST CASES'!B198</f>
        <v>BYD015-04</v>
      </c>
      <c r="C196" s="64">
        <f>IF('TEST CASES'!F198="", 0, LEN(TRIM('TEST CASES'!F198))-LEN(SUBSTITUTE('TEST CASES'!F198, CHAR(10), ""))+1)</f>
        <v>10</v>
      </c>
      <c r="E196" s="64" t="str">
        <f t="shared" si="3"/>
        <v>Open</v>
      </c>
      <c r="F196" s="64" t="str">
        <f>'TEST CASES'!H198</f>
        <v>Kevin</v>
      </c>
    </row>
    <row r="197" spans="1:6">
      <c r="A197" s="63">
        <f>'TEST CASES'!A199</f>
        <v>218</v>
      </c>
      <c r="B197" s="64" t="str">
        <f>'TEST CASES'!B199</f>
        <v>BYD015-05</v>
      </c>
      <c r="C197" s="64">
        <f>IF('TEST CASES'!F199="", 0, LEN(TRIM('TEST CASES'!F199))-LEN(SUBSTITUTE('TEST CASES'!F199, CHAR(10), ""))+1)</f>
        <v>9</v>
      </c>
      <c r="E197" s="64" t="str">
        <f t="shared" si="3"/>
        <v>Open</v>
      </c>
      <c r="F197" s="64" t="str">
        <f>'TEST CASES'!H199</f>
        <v>Kevin</v>
      </c>
    </row>
    <row r="198" spans="1:6">
      <c r="A198" s="63">
        <f>'TEST CASES'!A200</f>
        <v>219</v>
      </c>
      <c r="B198" s="64" t="str">
        <f>'TEST CASES'!B200</f>
        <v>BYD015-06</v>
      </c>
      <c r="C198" s="64">
        <f>IF('TEST CASES'!F200="", 0, LEN(TRIM('TEST CASES'!F200))-LEN(SUBSTITUTE('TEST CASES'!F200, CHAR(10), ""))+1)</f>
        <v>6</v>
      </c>
      <c r="E198" s="64" t="str">
        <f t="shared" si="3"/>
        <v>Open</v>
      </c>
      <c r="F198" s="64" t="str">
        <f>'TEST CASES'!H200</f>
        <v>Kevin</v>
      </c>
    </row>
    <row r="199" spans="1:6">
      <c r="A199" s="63">
        <f>'TEST CASES'!A201</f>
        <v>220</v>
      </c>
      <c r="B199" s="64" t="str">
        <f>'TEST CASES'!B201</f>
        <v>BYD015-07</v>
      </c>
      <c r="C199" s="64">
        <f>IF('TEST CASES'!F201="", 0, LEN(TRIM('TEST CASES'!F201))-LEN(SUBSTITUTE('TEST CASES'!F201, CHAR(10), ""))+1)</f>
        <v>4</v>
      </c>
      <c r="E199" s="64" t="str">
        <f t="shared" si="3"/>
        <v>Open</v>
      </c>
      <c r="F199" s="64" t="str">
        <f>'TEST CASES'!H201</f>
        <v>Kevin</v>
      </c>
    </row>
    <row r="200" spans="1:6">
      <c r="A200" s="63">
        <f>'TEST CASES'!A202</f>
        <v>221</v>
      </c>
      <c r="B200" s="64" t="str">
        <f>'TEST CASES'!B202</f>
        <v>BYD015-08</v>
      </c>
      <c r="C200" s="64">
        <f>IF('TEST CASES'!F202="", 0, LEN(TRIM('TEST CASES'!F202))-LEN(SUBSTITUTE('TEST CASES'!F202, CHAR(10), ""))+1)</f>
        <v>6</v>
      </c>
      <c r="E200" s="64" t="str">
        <f t="shared" si="3"/>
        <v>Open</v>
      </c>
      <c r="F200" s="64" t="str">
        <f>'TEST CASES'!H202</f>
        <v>Kevin</v>
      </c>
    </row>
    <row r="201" spans="1:6">
      <c r="A201" s="63">
        <f>'TEST CASES'!A203</f>
        <v>222</v>
      </c>
      <c r="B201" s="64" t="str">
        <f>'TEST CASES'!B203</f>
        <v>BYD015-09</v>
      </c>
      <c r="C201" s="64">
        <f>IF('TEST CASES'!F203="", 0, LEN(TRIM('TEST CASES'!F203))-LEN(SUBSTITUTE('TEST CASES'!F203, CHAR(10), ""))+1)</f>
        <v>7</v>
      </c>
      <c r="E201" s="64" t="str">
        <f t="shared" si="3"/>
        <v>Open</v>
      </c>
      <c r="F201" s="64" t="str">
        <f>'TEST CASES'!H203</f>
        <v>Kevin</v>
      </c>
    </row>
    <row r="202" spans="1:6">
      <c r="A202" s="63">
        <f>'TEST CASES'!A204</f>
        <v>223</v>
      </c>
      <c r="B202" s="64" t="str">
        <f>'TEST CASES'!B204</f>
        <v>BYD015-10</v>
      </c>
      <c r="C202" s="64">
        <f>IF('TEST CASES'!F204="", 0, LEN(TRIM('TEST CASES'!F204))-LEN(SUBSTITUTE('TEST CASES'!F204, CHAR(10), ""))+1)</f>
        <v>2</v>
      </c>
      <c r="E202" s="64" t="str">
        <f t="shared" si="3"/>
        <v>Open</v>
      </c>
      <c r="F202" s="64" t="str">
        <f>'TEST CASES'!H204</f>
        <v>Kevin</v>
      </c>
    </row>
    <row r="203" spans="1:6">
      <c r="A203" s="63">
        <f>'TEST CASES'!A205</f>
        <v>224</v>
      </c>
      <c r="B203" s="64" t="str">
        <f>'TEST CASES'!B205</f>
        <v>BYD015-11</v>
      </c>
      <c r="C203" s="64">
        <f>IF('TEST CASES'!F205="", 0, LEN(TRIM('TEST CASES'!F205))-LEN(SUBSTITUTE('TEST CASES'!F205, CHAR(10), ""))+1)</f>
        <v>3</v>
      </c>
      <c r="E203" s="64" t="str">
        <f t="shared" si="3"/>
        <v>Open</v>
      </c>
      <c r="F203" s="64" t="str">
        <f>'TEST CASES'!H205</f>
        <v>Kevin</v>
      </c>
    </row>
    <row r="204" spans="1:6">
      <c r="A204" s="63">
        <f>'TEST CASES'!A206</f>
        <v>225</v>
      </c>
      <c r="B204" s="64" t="str">
        <f>'TEST CASES'!B206</f>
        <v>BYD016-01</v>
      </c>
      <c r="C204" s="64">
        <f>IF('TEST CASES'!F206="", 0, LEN(TRIM('TEST CASES'!F206))-LEN(SUBSTITUTE('TEST CASES'!F206, CHAR(10), ""))+1)</f>
        <v>5</v>
      </c>
      <c r="E204" s="64" t="str">
        <f t="shared" si="3"/>
        <v>Open</v>
      </c>
      <c r="F204" s="64" t="str">
        <f>'TEST CASES'!H206</f>
        <v>Rasya</v>
      </c>
    </row>
    <row r="205" spans="1:6">
      <c r="A205" s="63">
        <f>'TEST CASES'!A207</f>
        <v>226</v>
      </c>
      <c r="B205" s="64" t="str">
        <f>'TEST CASES'!B207</f>
        <v>BYD016-02</v>
      </c>
      <c r="C205" s="64">
        <f>IF('TEST CASES'!F207="", 0, LEN(TRIM('TEST CASES'!F207))-LEN(SUBSTITUTE('TEST CASES'!F207, CHAR(10), ""))+1)</f>
        <v>3</v>
      </c>
      <c r="E205" s="64" t="str">
        <f t="shared" si="3"/>
        <v>Open</v>
      </c>
      <c r="F205" s="64" t="str">
        <f>'TEST CASES'!H207</f>
        <v>Rasya</v>
      </c>
    </row>
    <row r="206" spans="1:6">
      <c r="A206" s="63">
        <f>'TEST CASES'!A208</f>
        <v>227</v>
      </c>
      <c r="B206" s="64" t="str">
        <f>'TEST CASES'!B208</f>
        <v>BYD016-03</v>
      </c>
      <c r="C206" s="64">
        <f>IF('TEST CASES'!F208="", 0, LEN(TRIM('TEST CASES'!F208))-LEN(SUBSTITUTE('TEST CASES'!F208, CHAR(10), ""))+1)</f>
        <v>7</v>
      </c>
      <c r="E206" s="64" t="str">
        <f t="shared" si="3"/>
        <v>Open</v>
      </c>
      <c r="F206" s="64" t="str">
        <f>'TEST CASES'!H208</f>
        <v>Rasya</v>
      </c>
    </row>
    <row r="207" spans="1:6">
      <c r="A207" s="63">
        <f>'TEST CASES'!A209</f>
        <v>228</v>
      </c>
      <c r="B207" s="64" t="str">
        <f>'TEST CASES'!B209</f>
        <v>BYD016-04</v>
      </c>
      <c r="C207" s="64">
        <f>IF('TEST CASES'!F209="", 0, LEN(TRIM('TEST CASES'!F209))-LEN(SUBSTITUTE('TEST CASES'!F209, CHAR(10), ""))+1)</f>
        <v>10</v>
      </c>
      <c r="E207" s="64" t="str">
        <f t="shared" si="3"/>
        <v>Open</v>
      </c>
      <c r="F207" s="64" t="str">
        <f>'TEST CASES'!H209</f>
        <v>Rasya</v>
      </c>
    </row>
    <row r="208" spans="1:6">
      <c r="A208" s="63">
        <f>'TEST CASES'!A210</f>
        <v>229</v>
      </c>
      <c r="B208" s="64" t="str">
        <f>'TEST CASES'!B210</f>
        <v>BYD016-05</v>
      </c>
      <c r="C208" s="64">
        <f>IF('TEST CASES'!F210="", 0, LEN(TRIM('TEST CASES'!F210))-LEN(SUBSTITUTE('TEST CASES'!F210, CHAR(10), ""))+1)</f>
        <v>9</v>
      </c>
      <c r="E208" s="64" t="str">
        <f t="shared" si="3"/>
        <v>Open</v>
      </c>
      <c r="F208" s="64" t="str">
        <f>'TEST CASES'!H210</f>
        <v>Rasya</v>
      </c>
    </row>
    <row r="209" spans="1:6">
      <c r="A209" s="63">
        <f>'TEST CASES'!A211</f>
        <v>230</v>
      </c>
      <c r="B209" s="64" t="str">
        <f>'TEST CASES'!B211</f>
        <v>BYD016-06</v>
      </c>
      <c r="C209" s="64">
        <f>IF('TEST CASES'!F211="", 0, LEN(TRIM('TEST CASES'!F211))-LEN(SUBSTITUTE('TEST CASES'!F211, CHAR(10), ""))+1)</f>
        <v>5</v>
      </c>
      <c r="E209" s="64" t="str">
        <f t="shared" si="3"/>
        <v>Open</v>
      </c>
      <c r="F209" s="64" t="str">
        <f>'TEST CASES'!H211</f>
        <v>Rasya</v>
      </c>
    </row>
    <row r="210" spans="1:6">
      <c r="A210" s="63">
        <f>'TEST CASES'!A212</f>
        <v>231</v>
      </c>
      <c r="B210" s="64" t="str">
        <f>'TEST CASES'!B212</f>
        <v>BYD016-07</v>
      </c>
      <c r="C210" s="64">
        <f>IF('TEST CASES'!F212="", 0, LEN(TRIM('TEST CASES'!F212))-LEN(SUBSTITUTE('TEST CASES'!F212, CHAR(10), ""))+1)</f>
        <v>4</v>
      </c>
      <c r="E210" s="64" t="str">
        <f t="shared" si="3"/>
        <v>Open</v>
      </c>
      <c r="F210" s="64" t="str">
        <f>'TEST CASES'!H212</f>
        <v>Rasya</v>
      </c>
    </row>
    <row r="211" spans="1:6">
      <c r="A211" s="63">
        <f>'TEST CASES'!A213</f>
        <v>232</v>
      </c>
      <c r="B211" s="64" t="str">
        <f>'TEST CASES'!B213</f>
        <v>BYD016-08</v>
      </c>
      <c r="C211" s="64">
        <f>IF('TEST CASES'!F213="", 0, LEN(TRIM('TEST CASES'!F213))-LEN(SUBSTITUTE('TEST CASES'!F213, CHAR(10), ""))+1)</f>
        <v>6</v>
      </c>
      <c r="E211" s="64" t="str">
        <f t="shared" si="3"/>
        <v>Open</v>
      </c>
      <c r="F211" s="64" t="str">
        <f>'TEST CASES'!H213</f>
        <v>Rasya</v>
      </c>
    </row>
    <row r="212" spans="1:6">
      <c r="A212" s="63">
        <f>'TEST CASES'!A214</f>
        <v>233</v>
      </c>
      <c r="B212" s="64" t="str">
        <f>'TEST CASES'!B214</f>
        <v>BYD016-09</v>
      </c>
      <c r="C212" s="64">
        <f>IF('TEST CASES'!F214="", 0, LEN(TRIM('TEST CASES'!F214))-LEN(SUBSTITUTE('TEST CASES'!F214, CHAR(10), ""))+1)</f>
        <v>7</v>
      </c>
      <c r="E212" s="64" t="str">
        <f t="shared" si="3"/>
        <v>Open</v>
      </c>
      <c r="F212" s="64" t="str">
        <f>'TEST CASES'!H214</f>
        <v>Rasya</v>
      </c>
    </row>
    <row r="213" spans="1:6">
      <c r="A213" s="63">
        <f>'TEST CASES'!A215</f>
        <v>234</v>
      </c>
      <c r="B213" s="64" t="str">
        <f>'TEST CASES'!B215</f>
        <v>BYD016-10</v>
      </c>
      <c r="C213" s="64">
        <f>IF('TEST CASES'!F215="", 0, LEN(TRIM('TEST CASES'!F215))-LEN(SUBSTITUTE('TEST CASES'!F215, CHAR(10), ""))+1)</f>
        <v>2</v>
      </c>
      <c r="E213" s="64" t="str">
        <f t="shared" si="3"/>
        <v>Open</v>
      </c>
      <c r="F213" s="64" t="str">
        <f>'TEST CASES'!H215</f>
        <v>Rasya</v>
      </c>
    </row>
    <row r="214" spans="1:6">
      <c r="A214" s="63">
        <f>'TEST CASES'!A216</f>
        <v>235</v>
      </c>
      <c r="B214" s="64" t="str">
        <f>'TEST CASES'!B216</f>
        <v>BYD016-11</v>
      </c>
      <c r="C214" s="64">
        <f>IF('TEST CASES'!F216="", 0, LEN(TRIM('TEST CASES'!F216))-LEN(SUBSTITUTE('TEST CASES'!F216, CHAR(10), ""))+1)</f>
        <v>3</v>
      </c>
      <c r="E214" s="64" t="str">
        <f t="shared" si="3"/>
        <v>Open</v>
      </c>
      <c r="F214" s="64" t="str">
        <f>'TEST CASES'!H216</f>
        <v>Rasya</v>
      </c>
    </row>
    <row r="215" spans="1:6">
      <c r="A215" s="63">
        <f>'TEST CASES'!A217</f>
        <v>236</v>
      </c>
      <c r="B215" s="64" t="str">
        <f>'TEST CASES'!B217</f>
        <v>BYD017-01</v>
      </c>
      <c r="C215" s="64">
        <f>IF('TEST CASES'!F217="", 0, LEN(TRIM('TEST CASES'!F217))-LEN(SUBSTITUTE('TEST CASES'!F217, CHAR(10), ""))+1)</f>
        <v>5</v>
      </c>
      <c r="E215" s="64" t="str">
        <f t="shared" si="3"/>
        <v>Open</v>
      </c>
      <c r="F215" s="64" t="str">
        <f>'TEST CASES'!H217</f>
        <v>Azhar</v>
      </c>
    </row>
    <row r="216" spans="1:6">
      <c r="A216" s="63">
        <f>'TEST CASES'!A218</f>
        <v>237</v>
      </c>
      <c r="B216" s="64" t="str">
        <f>'TEST CASES'!B218</f>
        <v>BYD017-02</v>
      </c>
      <c r="C216" s="64">
        <f>IF('TEST CASES'!F218="", 0, LEN(TRIM('TEST CASES'!F218))-LEN(SUBSTITUTE('TEST CASES'!F218, CHAR(10), ""))+1)</f>
        <v>3</v>
      </c>
      <c r="E216" s="64" t="str">
        <f t="shared" si="3"/>
        <v>Open</v>
      </c>
      <c r="F216" s="64" t="str">
        <f>'TEST CASES'!H218</f>
        <v>Azhar</v>
      </c>
    </row>
    <row r="217" spans="1:6">
      <c r="A217" s="63">
        <f>'TEST CASES'!A219</f>
        <v>238</v>
      </c>
      <c r="B217" s="64" t="str">
        <f>'TEST CASES'!B219</f>
        <v>BYD017-03</v>
      </c>
      <c r="C217" s="64">
        <f>IF('TEST CASES'!F219="", 0, LEN(TRIM('TEST CASES'!F219))-LEN(SUBSTITUTE('TEST CASES'!F219, CHAR(10), ""))+1)</f>
        <v>7</v>
      </c>
      <c r="E217" s="64" t="str">
        <f t="shared" si="3"/>
        <v>Open</v>
      </c>
      <c r="F217" s="64" t="str">
        <f>'TEST CASES'!H219</f>
        <v>Azhar</v>
      </c>
    </row>
    <row r="218" spans="1:6">
      <c r="A218" s="63">
        <f>'TEST CASES'!A220</f>
        <v>239</v>
      </c>
      <c r="B218" s="64" t="str">
        <f>'TEST CASES'!B220</f>
        <v>BYD017-04</v>
      </c>
      <c r="C218" s="64">
        <f>IF('TEST CASES'!F220="", 0, LEN(TRIM('TEST CASES'!F220))-LEN(SUBSTITUTE('TEST CASES'!F220, CHAR(10), ""))+1)</f>
        <v>10</v>
      </c>
      <c r="E218" s="64" t="str">
        <f t="shared" si="3"/>
        <v>Open</v>
      </c>
      <c r="F218" s="64" t="str">
        <f>'TEST CASES'!H220</f>
        <v>Azhar</v>
      </c>
    </row>
    <row r="219" spans="1:6">
      <c r="A219" s="63">
        <f>'TEST CASES'!A221</f>
        <v>240</v>
      </c>
      <c r="B219" s="64" t="str">
        <f>'TEST CASES'!B221</f>
        <v>BYD017-05</v>
      </c>
      <c r="C219" s="64">
        <f>IF('TEST CASES'!F221="", 0, LEN(TRIM('TEST CASES'!F221))-LEN(SUBSTITUTE('TEST CASES'!F221, CHAR(10), ""))+1)</f>
        <v>9</v>
      </c>
      <c r="E219" s="64" t="str">
        <f t="shared" si="3"/>
        <v>Open</v>
      </c>
      <c r="F219" s="64" t="str">
        <f>'TEST CASES'!H221</f>
        <v>Azhar</v>
      </c>
    </row>
    <row r="220" spans="1:6">
      <c r="A220" s="63">
        <f>'TEST CASES'!A222</f>
        <v>241</v>
      </c>
      <c r="B220" s="64" t="str">
        <f>'TEST CASES'!B222</f>
        <v>BYD017-06</v>
      </c>
      <c r="C220" s="64">
        <f>IF('TEST CASES'!F222="", 0, LEN(TRIM('TEST CASES'!F222))-LEN(SUBSTITUTE('TEST CASES'!F222, CHAR(10), ""))+1)</f>
        <v>6</v>
      </c>
      <c r="E220" s="64" t="str">
        <f t="shared" si="3"/>
        <v>Open</v>
      </c>
      <c r="F220" s="64" t="str">
        <f>'TEST CASES'!H222</f>
        <v>Azhar</v>
      </c>
    </row>
    <row r="221" spans="1:6">
      <c r="A221" s="63">
        <f>'TEST CASES'!A223</f>
        <v>242</v>
      </c>
      <c r="B221" s="64" t="str">
        <f>'TEST CASES'!B223</f>
        <v>BYD017-07</v>
      </c>
      <c r="C221" s="64">
        <f>IF('TEST CASES'!F223="", 0, LEN(TRIM('TEST CASES'!F223))-LEN(SUBSTITUTE('TEST CASES'!F223, CHAR(10), ""))+1)</f>
        <v>4</v>
      </c>
      <c r="E221" s="64" t="str">
        <f t="shared" si="3"/>
        <v>Open</v>
      </c>
      <c r="F221" s="64" t="str">
        <f>'TEST CASES'!H223</f>
        <v>Azhar</v>
      </c>
    </row>
    <row r="222" spans="1:6">
      <c r="A222" s="63">
        <f>'TEST CASES'!A224</f>
        <v>243</v>
      </c>
      <c r="B222" s="64" t="str">
        <f>'TEST CASES'!B224</f>
        <v>BYD017-08</v>
      </c>
      <c r="C222" s="64">
        <f>IF('TEST CASES'!F224="", 0, LEN(TRIM('TEST CASES'!F224))-LEN(SUBSTITUTE('TEST CASES'!F224, CHAR(10), ""))+1)</f>
        <v>6</v>
      </c>
      <c r="E222" s="64" t="str">
        <f t="shared" si="3"/>
        <v>Open</v>
      </c>
      <c r="F222" s="64" t="str">
        <f>'TEST CASES'!H224</f>
        <v>Azhar</v>
      </c>
    </row>
    <row r="223" spans="1:6">
      <c r="A223" s="63">
        <f>'TEST CASES'!A225</f>
        <v>244</v>
      </c>
      <c r="B223" s="64" t="str">
        <f>'TEST CASES'!B225</f>
        <v>BYD017-09</v>
      </c>
      <c r="C223" s="64">
        <f>IF('TEST CASES'!F225="", 0, LEN(TRIM('TEST CASES'!F225))-LEN(SUBSTITUTE('TEST CASES'!F225, CHAR(10), ""))+1)</f>
        <v>4</v>
      </c>
      <c r="E223" s="64" t="str">
        <f t="shared" si="3"/>
        <v>Open</v>
      </c>
      <c r="F223" s="64" t="str">
        <f>'TEST CASES'!H225</f>
        <v>Azhar</v>
      </c>
    </row>
    <row r="224" spans="1:6">
      <c r="A224" s="63">
        <f>'TEST CASES'!A226</f>
        <v>245</v>
      </c>
      <c r="B224" s="64" t="str">
        <f>'TEST CASES'!B226</f>
        <v>BYD017-10</v>
      </c>
      <c r="C224" s="64">
        <f>IF('TEST CASES'!F226="", 0, LEN(TRIM('TEST CASES'!F226))-LEN(SUBSTITUTE('TEST CASES'!F226, CHAR(10), ""))+1)</f>
        <v>2</v>
      </c>
      <c r="E224" s="64" t="str">
        <f t="shared" si="3"/>
        <v>Open</v>
      </c>
      <c r="F224" s="64" t="str">
        <f>'TEST CASES'!H226</f>
        <v>Azhar</v>
      </c>
    </row>
    <row r="225" spans="1:6">
      <c r="A225" s="63">
        <f>'TEST CASES'!A227</f>
        <v>246</v>
      </c>
      <c r="B225" s="64" t="str">
        <f>'TEST CASES'!B227</f>
        <v>BYD017-11</v>
      </c>
      <c r="C225" s="64">
        <f>IF('TEST CASES'!F227="", 0, LEN(TRIM('TEST CASES'!F227))-LEN(SUBSTITUTE('TEST CASES'!F227, CHAR(10), ""))+1)</f>
        <v>3</v>
      </c>
      <c r="E225" s="64" t="str">
        <f t="shared" si="3"/>
        <v>Open</v>
      </c>
      <c r="F225" s="64" t="str">
        <f>'TEST CASES'!H227</f>
        <v>Azhar</v>
      </c>
    </row>
    <row r="226" spans="1:6">
      <c r="A226" s="63">
        <f>'TEST CASES'!A228</f>
        <v>247</v>
      </c>
      <c r="B226" s="64" t="str">
        <f>'TEST CASES'!B228</f>
        <v>BYD017-12</v>
      </c>
      <c r="C226" s="64">
        <f>IF('TEST CASES'!F228="", 0, LEN(TRIM('TEST CASES'!F228))-LEN(SUBSTITUTE('TEST CASES'!F228, CHAR(10), ""))+1)</f>
        <v>5</v>
      </c>
      <c r="E226" s="64" t="str">
        <f t="shared" si="3"/>
        <v>Open</v>
      </c>
      <c r="F226" s="64" t="str">
        <f>'TEST CASES'!H228</f>
        <v>Azhar</v>
      </c>
    </row>
    <row r="227" spans="1:6">
      <c r="A227" s="63">
        <f>'TEST CASES'!A229</f>
        <v>248</v>
      </c>
      <c r="B227" s="64" t="str">
        <f>'TEST CASES'!B229</f>
        <v>BYD017-13</v>
      </c>
      <c r="C227" s="64">
        <f>IF('TEST CASES'!F229="", 0, LEN(TRIM('TEST CASES'!F229))-LEN(SUBSTITUTE('TEST CASES'!F229, CHAR(10), ""))+1)</f>
        <v>4</v>
      </c>
      <c r="E227" s="64" t="str">
        <f t="shared" si="3"/>
        <v>Open</v>
      </c>
      <c r="F227" s="64" t="str">
        <f>'TEST CASES'!H229</f>
        <v>Azhar</v>
      </c>
    </row>
    <row r="228" spans="1:6">
      <c r="A228" s="63">
        <f>'TEST CASES'!A230</f>
        <v>249</v>
      </c>
      <c r="B228" s="64" t="str">
        <f>'TEST CASES'!B230</f>
        <v>BYD017-14</v>
      </c>
      <c r="C228" s="64">
        <f>IF('TEST CASES'!F230="", 0, LEN(TRIM('TEST CASES'!F230))-LEN(SUBSTITUTE('TEST CASES'!F230, CHAR(10), ""))+1)</f>
        <v>6</v>
      </c>
      <c r="E228" s="64" t="str">
        <f t="shared" si="3"/>
        <v>Open</v>
      </c>
      <c r="F228" s="64" t="str">
        <f>'TEST CASES'!H230</f>
        <v>Azhar</v>
      </c>
    </row>
    <row r="229" spans="1:6">
      <c r="A229" s="63">
        <f>'TEST CASES'!A231</f>
        <v>250</v>
      </c>
      <c r="B229" s="64" t="str">
        <f>'TEST CASES'!B231</f>
        <v>BYD017-15</v>
      </c>
      <c r="C229" s="64">
        <f>IF('TEST CASES'!F231="", 0, LEN(TRIM('TEST CASES'!F231))-LEN(SUBSTITUTE('TEST CASES'!F231, CHAR(10), ""))+1)</f>
        <v>7</v>
      </c>
      <c r="E229" s="64" t="str">
        <f t="shared" si="3"/>
        <v>Open</v>
      </c>
      <c r="F229" s="64" t="str">
        <f>'TEST CASES'!H231</f>
        <v>Azhar</v>
      </c>
    </row>
    <row r="230" spans="1:6">
      <c r="A230" s="63">
        <f>'TEST CASES'!A232</f>
        <v>251</v>
      </c>
      <c r="B230" s="64" t="str">
        <f>'TEST CASES'!B232</f>
        <v>BYD017-16</v>
      </c>
      <c r="C230" s="64">
        <f>IF('TEST CASES'!F232="", 0, LEN(TRIM('TEST CASES'!F232))-LEN(SUBSTITUTE('TEST CASES'!F232, CHAR(10), ""))+1)</f>
        <v>2</v>
      </c>
      <c r="E230" s="64" t="str">
        <f t="shared" si="3"/>
        <v>Open</v>
      </c>
      <c r="F230" s="64" t="str">
        <f>'TEST CASES'!H232</f>
        <v>Azhar</v>
      </c>
    </row>
    <row r="231" spans="1:6">
      <c r="A231" s="63">
        <f>'TEST CASES'!A233</f>
        <v>252</v>
      </c>
      <c r="B231" s="64" t="str">
        <f>'TEST CASES'!B233</f>
        <v>BYD017-17</v>
      </c>
      <c r="C231" s="64">
        <f>IF('TEST CASES'!F233="", 0, LEN(TRIM('TEST CASES'!F233))-LEN(SUBSTITUTE('TEST CASES'!F233, CHAR(10), ""))+1)</f>
        <v>3</v>
      </c>
      <c r="E231" s="64" t="str">
        <f t="shared" si="3"/>
        <v>Open</v>
      </c>
      <c r="F231" s="64" t="str">
        <f>'TEST CASES'!H233</f>
        <v>Azhar</v>
      </c>
    </row>
    <row r="232" spans="1:6">
      <c r="A232" s="63">
        <f>'TEST CASES'!A234</f>
        <v>264</v>
      </c>
      <c r="B232" s="64" t="str">
        <f>'TEST CASES'!B234</f>
        <v>BYD018-01</v>
      </c>
      <c r="C232" s="64">
        <f>IF('TEST CASES'!F234="", 0, LEN(TRIM('TEST CASES'!F234))-LEN(SUBSTITUTE('TEST CASES'!F234, CHAR(10), ""))+1)</f>
        <v>5</v>
      </c>
      <c r="E232" s="64" t="str">
        <f t="shared" si="3"/>
        <v>Open</v>
      </c>
      <c r="F232" s="64" t="str">
        <f>'TEST CASES'!H234</f>
        <v>Affinia</v>
      </c>
    </row>
    <row r="233" spans="1:6">
      <c r="A233" s="63">
        <f>'TEST CASES'!A235</f>
        <v>265</v>
      </c>
      <c r="B233" s="64" t="str">
        <f>'TEST CASES'!B235</f>
        <v>BYD018-02</v>
      </c>
      <c r="C233" s="64">
        <f>IF('TEST CASES'!F235="", 0, LEN(TRIM('TEST CASES'!F235))-LEN(SUBSTITUTE('TEST CASES'!F235, CHAR(10), ""))+1)</f>
        <v>5</v>
      </c>
      <c r="E233" s="64" t="str">
        <f t="shared" si="3"/>
        <v>Open</v>
      </c>
      <c r="F233" s="64" t="str">
        <f>'TEST CASES'!H235</f>
        <v>Affinia</v>
      </c>
    </row>
    <row r="234" spans="1:6">
      <c r="A234" s="63">
        <f>'TEST CASES'!A236</f>
        <v>266</v>
      </c>
      <c r="B234" s="64" t="str">
        <f>'TEST CASES'!B236</f>
        <v>BYD018-03</v>
      </c>
      <c r="C234" s="64">
        <f>IF('TEST CASES'!F236="", 0, LEN(TRIM('TEST CASES'!F236))-LEN(SUBSTITUTE('TEST CASES'!F236, CHAR(10), ""))+1)</f>
        <v>3</v>
      </c>
      <c r="E234" s="64" t="str">
        <f t="shared" si="3"/>
        <v>Open</v>
      </c>
      <c r="F234" s="64" t="str">
        <f>'TEST CASES'!H236</f>
        <v>Affinia</v>
      </c>
    </row>
    <row r="235" spans="1:6">
      <c r="A235" s="63">
        <f>'TEST CASES'!A237</f>
        <v>267</v>
      </c>
      <c r="B235" s="64" t="str">
        <f>'TEST CASES'!B237</f>
        <v>BYD019-01</v>
      </c>
      <c r="C235" s="64">
        <f>IF('TEST CASES'!F237="", 0, LEN(TRIM('TEST CASES'!F237))-LEN(SUBSTITUTE('TEST CASES'!F237, CHAR(10), ""))+1)</f>
        <v>5</v>
      </c>
      <c r="E235" s="64" t="str">
        <f t="shared" si="3"/>
        <v>Open</v>
      </c>
      <c r="F235" s="64" t="str">
        <f>'TEST CASES'!H237</f>
        <v>Kevin</v>
      </c>
    </row>
    <row r="236" spans="1:6">
      <c r="A236" s="63">
        <f>'TEST CASES'!A238</f>
        <v>268</v>
      </c>
      <c r="B236" s="64" t="str">
        <f>'TEST CASES'!B238</f>
        <v>BYD019-02</v>
      </c>
      <c r="C236" s="64">
        <f>IF('TEST CASES'!F238="", 0, LEN(TRIM('TEST CASES'!F238))-LEN(SUBSTITUTE('TEST CASES'!F238, CHAR(10), ""))+1)</f>
        <v>5</v>
      </c>
      <c r="E236" s="64" t="str">
        <f t="shared" si="3"/>
        <v>Open</v>
      </c>
      <c r="F236" s="64" t="str">
        <f>'TEST CASES'!H238</f>
        <v>Kevin</v>
      </c>
    </row>
    <row r="237" spans="1:6">
      <c r="A237" s="63">
        <f>'TEST CASES'!A239</f>
        <v>269</v>
      </c>
      <c r="B237" s="64" t="str">
        <f>'TEST CASES'!B239</f>
        <v>BYD019-03</v>
      </c>
      <c r="C237" s="64">
        <f>IF('TEST CASES'!F239="", 0, LEN(TRIM('TEST CASES'!F239))-LEN(SUBSTITUTE('TEST CASES'!F239, CHAR(10), ""))+1)</f>
        <v>3</v>
      </c>
      <c r="E237" s="64" t="str">
        <f t="shared" si="3"/>
        <v>Open</v>
      </c>
      <c r="F237" s="64" t="str">
        <f>'TEST CASES'!H239</f>
        <v>Kevin</v>
      </c>
    </row>
    <row r="238" spans="1:6">
      <c r="A238" s="63">
        <f>'TEST CASES'!A240</f>
        <v>270</v>
      </c>
      <c r="B238" s="64" t="str">
        <f>'TEST CASES'!B240</f>
        <v>BYD020-01</v>
      </c>
      <c r="C238" s="64">
        <f>IF('TEST CASES'!F240="", 0, LEN(TRIM('TEST CASES'!F240))-LEN(SUBSTITUTE('TEST CASES'!F240, CHAR(10), ""))+1)</f>
        <v>5</v>
      </c>
      <c r="E238" s="64" t="str">
        <f t="shared" si="3"/>
        <v>Open</v>
      </c>
      <c r="F238" s="64" t="str">
        <f>'TEST CASES'!H240</f>
        <v>Rasya</v>
      </c>
    </row>
    <row r="239" spans="1:6">
      <c r="A239" s="63">
        <f>'TEST CASES'!A241</f>
        <v>271</v>
      </c>
      <c r="B239" s="64" t="str">
        <f>'TEST CASES'!B241</f>
        <v>BYD020-02</v>
      </c>
      <c r="C239" s="64">
        <f>IF('TEST CASES'!F241="", 0, LEN(TRIM('TEST CASES'!F241))-LEN(SUBSTITUTE('TEST CASES'!F241, CHAR(10), ""))+1)</f>
        <v>5</v>
      </c>
      <c r="E239" s="64" t="str">
        <f t="shared" si="3"/>
        <v>Open</v>
      </c>
      <c r="F239" s="64" t="str">
        <f>'TEST CASES'!H241</f>
        <v>Rasya</v>
      </c>
    </row>
    <row r="240" spans="1:6">
      <c r="A240" s="63">
        <f>'TEST CASES'!A242</f>
        <v>272</v>
      </c>
      <c r="B240" s="64" t="str">
        <f>'TEST CASES'!B242</f>
        <v>BYD020-03</v>
      </c>
      <c r="C240" s="64">
        <f>IF('TEST CASES'!F242="", 0, LEN(TRIM('TEST CASES'!F242))-LEN(SUBSTITUTE('TEST CASES'!F242, CHAR(10), ""))+1)</f>
        <v>3</v>
      </c>
      <c r="E240" s="64" t="str">
        <f t="shared" si="3"/>
        <v>Open</v>
      </c>
      <c r="F240" s="64" t="str">
        <f>'TEST CASES'!H242</f>
        <v>Rasya</v>
      </c>
    </row>
    <row r="241" spans="1:6">
      <c r="A241" s="63">
        <f>'TEST CASES'!A243</f>
        <v>273</v>
      </c>
      <c r="B241" s="64" t="str">
        <f>'TEST CASES'!B243</f>
        <v>BYD021-01</v>
      </c>
      <c r="C241" s="64">
        <f>IF('TEST CASES'!F243="", 0, LEN(TRIM('TEST CASES'!F243))-LEN(SUBSTITUTE('TEST CASES'!F243, CHAR(10), ""))+1)</f>
        <v>5</v>
      </c>
      <c r="E241" s="64" t="str">
        <f t="shared" si="3"/>
        <v>Open</v>
      </c>
      <c r="F241" s="64" t="str">
        <f>'TEST CASES'!H243</f>
        <v>Azhar</v>
      </c>
    </row>
    <row r="242" spans="1:6">
      <c r="A242" s="63">
        <f>'TEST CASES'!A244</f>
        <v>274</v>
      </c>
      <c r="B242" s="64" t="str">
        <f>'TEST CASES'!B244</f>
        <v>BYD021-02</v>
      </c>
      <c r="C242" s="64">
        <f>IF('TEST CASES'!F244="", 0, LEN(TRIM('TEST CASES'!F244))-LEN(SUBSTITUTE('TEST CASES'!F244, CHAR(10), ""))+1)</f>
        <v>5</v>
      </c>
      <c r="E242" s="64" t="str">
        <f t="shared" si="3"/>
        <v>Open</v>
      </c>
      <c r="F242" s="64" t="str">
        <f>'TEST CASES'!H244</f>
        <v>Azhar</v>
      </c>
    </row>
    <row r="243" spans="1:6">
      <c r="A243" s="63">
        <f>'TEST CASES'!A245</f>
        <v>275</v>
      </c>
      <c r="B243" s="64" t="str">
        <f>'TEST CASES'!B245</f>
        <v>BYD021-03</v>
      </c>
      <c r="C243" s="64">
        <f>IF('TEST CASES'!F245="", 0, LEN(TRIM('TEST CASES'!F245))-LEN(SUBSTITUTE('TEST CASES'!F245, CHAR(10), ""))+1)</f>
        <v>3</v>
      </c>
      <c r="E243" s="64" t="str">
        <f t="shared" si="3"/>
        <v>Open</v>
      </c>
      <c r="F243" s="64" t="str">
        <f>'TEST CASES'!H245</f>
        <v>Azhar</v>
      </c>
    </row>
    <row r="244" spans="1:6">
      <c r="A244" s="63">
        <f>'TEST CASES'!A246</f>
        <v>276</v>
      </c>
      <c r="B244" s="64" t="str">
        <f>'TEST CASES'!B246</f>
        <v>BYD022-01</v>
      </c>
      <c r="C244" s="64">
        <f>IF('TEST CASES'!F246="", 0, LEN(TRIM('TEST CASES'!F246))-LEN(SUBSTITUTE('TEST CASES'!F246, CHAR(10), ""))+1)</f>
        <v>5</v>
      </c>
      <c r="E244" s="64" t="str">
        <f t="shared" si="3"/>
        <v>Open</v>
      </c>
      <c r="F244" s="64" t="str">
        <f>'TEST CASES'!H246</f>
        <v>Affinia</v>
      </c>
    </row>
    <row r="245" spans="1:6">
      <c r="A245" s="63">
        <f>'TEST CASES'!A247</f>
        <v>277</v>
      </c>
      <c r="B245" s="64" t="str">
        <f>'TEST CASES'!B247</f>
        <v>BYD022-02</v>
      </c>
      <c r="C245" s="64">
        <f>IF('TEST CASES'!F247="", 0, LEN(TRIM('TEST CASES'!F247))-LEN(SUBSTITUTE('TEST CASES'!F247, CHAR(10), ""))+1)</f>
        <v>5</v>
      </c>
      <c r="E245" s="64" t="str">
        <f t="shared" si="3"/>
        <v>Open</v>
      </c>
      <c r="F245" s="64" t="str">
        <f>'TEST CASES'!H247</f>
        <v>Affinia</v>
      </c>
    </row>
    <row r="246" spans="1:6">
      <c r="A246" s="63">
        <f>'TEST CASES'!A248</f>
        <v>278</v>
      </c>
      <c r="B246" s="64" t="str">
        <f>'TEST CASES'!B248</f>
        <v>BYD022-03</v>
      </c>
      <c r="C246" s="64">
        <f>IF('TEST CASES'!F248="", 0, LEN(TRIM('TEST CASES'!F248))-LEN(SUBSTITUTE('TEST CASES'!F248, CHAR(10), ""))+1)</f>
        <v>3</v>
      </c>
      <c r="E246" s="64" t="str">
        <f t="shared" si="3"/>
        <v>Open</v>
      </c>
      <c r="F246" s="64" t="str">
        <f>'TEST CASES'!H248</f>
        <v>Affinia</v>
      </c>
    </row>
    <row r="247" spans="1:6">
      <c r="A247" s="63">
        <f>'TEST CASES'!A249</f>
        <v>279</v>
      </c>
      <c r="B247" s="64" t="str">
        <f>'TEST CASES'!B249</f>
        <v>BYD023-01</v>
      </c>
      <c r="C247" s="64">
        <f>IF('TEST CASES'!F249="", 0, LEN(TRIM('TEST CASES'!F249))-LEN(SUBSTITUTE('TEST CASES'!F249, CHAR(10), ""))+1)</f>
        <v>5</v>
      </c>
      <c r="E247" s="64" t="str">
        <f t="shared" si="3"/>
        <v>Open</v>
      </c>
      <c r="F247" s="64" t="str">
        <f>'TEST CASES'!H249</f>
        <v>Kevin</v>
      </c>
    </row>
    <row r="248" spans="1:6">
      <c r="A248" s="63">
        <f>'TEST CASES'!A250</f>
        <v>280</v>
      </c>
      <c r="B248" s="64" t="str">
        <f>'TEST CASES'!B250</f>
        <v>BYD023-02</v>
      </c>
      <c r="C248" s="64">
        <f>IF('TEST CASES'!F250="", 0, LEN(TRIM('TEST CASES'!F250))-LEN(SUBSTITUTE('TEST CASES'!F250, CHAR(10), ""))+1)</f>
        <v>5</v>
      </c>
      <c r="E248" s="64" t="str">
        <f t="shared" si="3"/>
        <v>Open</v>
      </c>
      <c r="F248" s="64" t="str">
        <f>'TEST CASES'!H250</f>
        <v>Kevin</v>
      </c>
    </row>
    <row r="249" spans="1:6">
      <c r="A249" s="63">
        <f>'TEST CASES'!A251</f>
        <v>281</v>
      </c>
      <c r="B249" s="64" t="str">
        <f>'TEST CASES'!B251</f>
        <v>BYD023-03</v>
      </c>
      <c r="C249" s="64">
        <f>IF('TEST CASES'!F251="", 0, LEN(TRIM('TEST CASES'!F251))-LEN(SUBSTITUTE('TEST CASES'!F251, CHAR(10), ""))+1)</f>
        <v>3</v>
      </c>
      <c r="E249" s="64" t="str">
        <f t="shared" si="3"/>
        <v>Open</v>
      </c>
      <c r="F249" s="64" t="str">
        <f>'TEST CASES'!H251</f>
        <v>Kevin</v>
      </c>
    </row>
    <row r="250" spans="1:6">
      <c r="A250" s="63">
        <f>'TEST CASES'!A252</f>
        <v>282</v>
      </c>
      <c r="B250" s="64" t="str">
        <f>'TEST CASES'!B252</f>
        <v>BYD024-01</v>
      </c>
      <c r="C250" s="64">
        <f>IF('TEST CASES'!F252="", 0, LEN(TRIM('TEST CASES'!F252))-LEN(SUBSTITUTE('TEST CASES'!F252, CHAR(10), ""))+1)</f>
        <v>5</v>
      </c>
      <c r="E250" s="64" t="str">
        <f t="shared" si="3"/>
        <v>Open</v>
      </c>
      <c r="F250" s="64" t="str">
        <f>'TEST CASES'!H252</f>
        <v>Rasya</v>
      </c>
    </row>
    <row r="251" spans="1:6">
      <c r="A251" s="63">
        <f>'TEST CASES'!A253</f>
        <v>283</v>
      </c>
      <c r="B251" s="64" t="str">
        <f>'TEST CASES'!B253</f>
        <v>BYD024-02</v>
      </c>
      <c r="C251" s="64">
        <f>IF('TEST CASES'!F253="", 0, LEN(TRIM('TEST CASES'!F253))-LEN(SUBSTITUTE('TEST CASES'!F253, CHAR(10), ""))+1)</f>
        <v>5</v>
      </c>
      <c r="E251" s="64" t="str">
        <f t="shared" si="3"/>
        <v>Open</v>
      </c>
      <c r="F251" s="64" t="str">
        <f>'TEST CASES'!H253</f>
        <v>Rasya</v>
      </c>
    </row>
    <row r="252" spans="1:6">
      <c r="A252" s="63">
        <f>'TEST CASES'!A254</f>
        <v>284</v>
      </c>
      <c r="B252" s="64" t="str">
        <f>'TEST CASES'!B254</f>
        <v>BYD024-03</v>
      </c>
      <c r="C252" s="64">
        <f>IF('TEST CASES'!F254="", 0, LEN(TRIM('TEST CASES'!F254))-LEN(SUBSTITUTE('TEST CASES'!F254, CHAR(10), ""))+1)</f>
        <v>3</v>
      </c>
      <c r="E252" s="64" t="str">
        <f t="shared" si="3"/>
        <v>Open</v>
      </c>
      <c r="F252" s="64" t="str">
        <f>'TEST CASES'!H254</f>
        <v>Rasya</v>
      </c>
    </row>
    <row r="253" spans="1:6">
      <c r="A253" s="63">
        <f>'TEST CASES'!A255</f>
        <v>285</v>
      </c>
      <c r="B253" s="64" t="str">
        <f>'TEST CASES'!B255</f>
        <v>BYD025-01</v>
      </c>
      <c r="C253" s="64">
        <f>IF('TEST CASES'!F255="", 0, LEN(TRIM('TEST CASES'!F255))-LEN(SUBSTITUTE('TEST CASES'!F255, CHAR(10), ""))+1)</f>
        <v>5</v>
      </c>
      <c r="E253" s="64" t="str">
        <f t="shared" si="3"/>
        <v>Open</v>
      </c>
      <c r="F253" s="64" t="str">
        <f>'TEST CASES'!H255</f>
        <v>Azhar</v>
      </c>
    </row>
    <row r="254" spans="1:6">
      <c r="A254" s="63">
        <f>'TEST CASES'!A256</f>
        <v>286</v>
      </c>
      <c r="B254" s="64" t="str">
        <f>'TEST CASES'!B256</f>
        <v>BYD025-02</v>
      </c>
      <c r="C254" s="64">
        <f>IF('TEST CASES'!F256="", 0, LEN(TRIM('TEST CASES'!F256))-LEN(SUBSTITUTE('TEST CASES'!F256, CHAR(10), ""))+1)</f>
        <v>4</v>
      </c>
      <c r="E254" s="64" t="str">
        <f t="shared" si="3"/>
        <v>Open</v>
      </c>
      <c r="F254" s="64" t="str">
        <f>'TEST CASES'!H256</f>
        <v>Azhar</v>
      </c>
    </row>
    <row r="255" spans="1:6">
      <c r="A255" s="63">
        <f>'TEST CASES'!A257</f>
        <v>287</v>
      </c>
      <c r="B255" s="64" t="str">
        <f>'TEST CASES'!B257</f>
        <v>BYD026-01</v>
      </c>
      <c r="C255" s="64">
        <f>IF('TEST CASES'!F257="", 0, LEN(TRIM('TEST CASES'!F257))-LEN(SUBSTITUTE('TEST CASES'!F257, CHAR(10), ""))+1)</f>
        <v>5</v>
      </c>
      <c r="E255" s="64" t="str">
        <f t="shared" si="3"/>
        <v>Open</v>
      </c>
      <c r="F255" s="64" t="str">
        <f>'TEST CASES'!H257</f>
        <v>Affinia</v>
      </c>
    </row>
    <row r="256" spans="1:6">
      <c r="A256" s="63">
        <f>'TEST CASES'!A258</f>
        <v>288</v>
      </c>
      <c r="B256" s="64" t="str">
        <f>'TEST CASES'!B258</f>
        <v>BYD026-02</v>
      </c>
      <c r="C256" s="64">
        <f>IF('TEST CASES'!F258="", 0, LEN(TRIM('TEST CASES'!F258))-LEN(SUBSTITUTE('TEST CASES'!F258, CHAR(10), ""))+1)</f>
        <v>2</v>
      </c>
      <c r="E256" s="64" t="str">
        <f t="shared" si="3"/>
        <v>Open</v>
      </c>
      <c r="F256" s="64" t="str">
        <f>'TEST CASES'!H258</f>
        <v>Affinia</v>
      </c>
    </row>
    <row r="257" spans="1:6">
      <c r="A257" s="63">
        <f>'TEST CASES'!A259</f>
        <v>289</v>
      </c>
      <c r="B257" s="64" t="str">
        <f>'TEST CASES'!B259</f>
        <v>BYD026-03</v>
      </c>
      <c r="C257" s="64">
        <f>IF('TEST CASES'!F259="", 0, LEN(TRIM('TEST CASES'!F259))-LEN(SUBSTITUTE('TEST CASES'!F259, CHAR(10), ""))+1)</f>
        <v>6</v>
      </c>
      <c r="E257" s="64" t="str">
        <f t="shared" si="3"/>
        <v>Open</v>
      </c>
      <c r="F257" s="64" t="str">
        <f>'TEST CASES'!H259</f>
        <v>Affinia</v>
      </c>
    </row>
    <row r="258" spans="1:6">
      <c r="A258" s="63">
        <f>'TEST CASES'!A260</f>
        <v>290</v>
      </c>
      <c r="B258" s="64" t="str">
        <f>'TEST CASES'!B260</f>
        <v>BYD027-01</v>
      </c>
      <c r="C258" s="64">
        <f>IF('TEST CASES'!F260="", 0, LEN(TRIM('TEST CASES'!F260))-LEN(SUBSTITUTE('TEST CASES'!F260, CHAR(10), ""))+1)</f>
        <v>5</v>
      </c>
      <c r="E258" s="64" t="str">
        <f t="shared" si="3"/>
        <v>Open</v>
      </c>
      <c r="F258" s="64" t="str">
        <f>'TEST CASES'!H260</f>
        <v>Kevin</v>
      </c>
    </row>
    <row r="259" spans="1:6">
      <c r="A259" s="63">
        <f>'TEST CASES'!A261</f>
        <v>291</v>
      </c>
      <c r="B259" s="64" t="str">
        <f>'TEST CASES'!B261</f>
        <v>BYD027-02</v>
      </c>
      <c r="C259" s="64">
        <f>IF('TEST CASES'!F261="", 0, LEN(TRIM('TEST CASES'!F261))-LEN(SUBSTITUTE('TEST CASES'!F261, CHAR(10), ""))+1)</f>
        <v>2</v>
      </c>
      <c r="E259" s="64" t="str">
        <f t="shared" ref="E259:E316" si="4">IF(D259=0,"Open",IF(D259=C259,"Done","InProgress"))</f>
        <v>Open</v>
      </c>
      <c r="F259" s="64" t="str">
        <f>'TEST CASES'!H261</f>
        <v>Kevin</v>
      </c>
    </row>
    <row r="260" spans="1:6">
      <c r="A260" s="63">
        <f>'TEST CASES'!A262</f>
        <v>292</v>
      </c>
      <c r="B260" s="64" t="str">
        <f>'TEST CASES'!B262</f>
        <v>BYD027-03</v>
      </c>
      <c r="C260" s="64">
        <f>IF('TEST CASES'!F262="", 0, LEN(TRIM('TEST CASES'!F262))-LEN(SUBSTITUTE('TEST CASES'!F262, CHAR(10), ""))+1)</f>
        <v>2</v>
      </c>
      <c r="E260" s="64" t="str">
        <f t="shared" si="4"/>
        <v>Open</v>
      </c>
      <c r="F260" s="64" t="str">
        <f>'TEST CASES'!H262</f>
        <v>Kevin</v>
      </c>
    </row>
    <row r="261" spans="1:6">
      <c r="A261" s="63">
        <f>'TEST CASES'!A263</f>
        <v>293</v>
      </c>
      <c r="B261" s="64" t="str">
        <f>'TEST CASES'!B263</f>
        <v>BYD027-04</v>
      </c>
      <c r="C261" s="64">
        <f>IF('TEST CASES'!F263="", 0, LEN(TRIM('TEST CASES'!F263))-LEN(SUBSTITUTE('TEST CASES'!F263, CHAR(10), ""))+1)</f>
        <v>4</v>
      </c>
      <c r="E261" s="64" t="str">
        <f t="shared" si="4"/>
        <v>Open</v>
      </c>
      <c r="F261" s="64" t="str">
        <f>'TEST CASES'!H263</f>
        <v>Kevin</v>
      </c>
    </row>
    <row r="262" spans="1:6">
      <c r="A262" s="63">
        <f>'TEST CASES'!A264</f>
        <v>294</v>
      </c>
      <c r="B262" s="64" t="str">
        <f>'TEST CASES'!B264</f>
        <v>BYD028-01</v>
      </c>
      <c r="C262" s="64">
        <f>IF('TEST CASES'!F264="", 0, LEN(TRIM('TEST CASES'!F264))-LEN(SUBSTITUTE('TEST CASES'!F264, CHAR(10), ""))+1)</f>
        <v>5</v>
      </c>
      <c r="E262" s="64" t="str">
        <f t="shared" si="4"/>
        <v>Open</v>
      </c>
      <c r="F262" s="64" t="str">
        <f>'TEST CASES'!H264</f>
        <v>Rasya</v>
      </c>
    </row>
    <row r="263" spans="1:6">
      <c r="A263" s="63">
        <f>'TEST CASES'!A265</f>
        <v>295</v>
      </c>
      <c r="B263" s="64" t="str">
        <f>'TEST CASES'!B265</f>
        <v>BYD028-02</v>
      </c>
      <c r="C263" s="64">
        <f>IF('TEST CASES'!F265="", 0, LEN(TRIM('TEST CASES'!F265))-LEN(SUBSTITUTE('TEST CASES'!F265, CHAR(10), ""))+1)</f>
        <v>2</v>
      </c>
      <c r="E263" s="64" t="str">
        <f t="shared" si="4"/>
        <v>Open</v>
      </c>
      <c r="F263" s="64" t="str">
        <f>'TEST CASES'!H265</f>
        <v>Rasya</v>
      </c>
    </row>
    <row r="264" spans="1:6">
      <c r="A264" s="63">
        <f>'TEST CASES'!A266</f>
        <v>296</v>
      </c>
      <c r="B264" s="64" t="str">
        <f>'TEST CASES'!B266</f>
        <v>BYD028-03</v>
      </c>
      <c r="C264" s="64">
        <f>IF('TEST CASES'!F266="", 0, LEN(TRIM('TEST CASES'!F266))-LEN(SUBSTITUTE('TEST CASES'!F266, CHAR(10), ""))+1)</f>
        <v>2</v>
      </c>
      <c r="E264" s="64" t="str">
        <f t="shared" si="4"/>
        <v>Open</v>
      </c>
      <c r="F264" s="64" t="str">
        <f>'TEST CASES'!H266</f>
        <v>Rasya</v>
      </c>
    </row>
    <row r="265" spans="1:6">
      <c r="A265" s="63">
        <f>'TEST CASES'!A267</f>
        <v>297</v>
      </c>
      <c r="B265" s="64" t="str">
        <f>'TEST CASES'!B267</f>
        <v>BYD028-04</v>
      </c>
      <c r="C265" s="64">
        <f>IF('TEST CASES'!F267="", 0, LEN(TRIM('TEST CASES'!F267))-LEN(SUBSTITUTE('TEST CASES'!F267, CHAR(10), ""))+1)</f>
        <v>4</v>
      </c>
      <c r="E265" s="64" t="str">
        <f t="shared" si="4"/>
        <v>Open</v>
      </c>
      <c r="F265" s="64" t="str">
        <f>'TEST CASES'!H267</f>
        <v>Rasya</v>
      </c>
    </row>
    <row r="266" spans="1:6">
      <c r="A266" s="63">
        <f>'TEST CASES'!A268</f>
        <v>298</v>
      </c>
      <c r="B266" s="64" t="str">
        <f>'TEST CASES'!B268</f>
        <v>BYD029-01</v>
      </c>
      <c r="C266" s="64">
        <f>IF('TEST CASES'!F268="", 0, LEN(TRIM('TEST CASES'!F268))-LEN(SUBSTITUTE('TEST CASES'!F268, CHAR(10), ""))+1)</f>
        <v>5</v>
      </c>
      <c r="E266" s="64" t="str">
        <f t="shared" si="4"/>
        <v>Open</v>
      </c>
      <c r="F266" s="64" t="str">
        <f>'TEST CASES'!H268</f>
        <v>Azhar</v>
      </c>
    </row>
    <row r="267" spans="1:6">
      <c r="A267" s="63">
        <f>'TEST CASES'!A269</f>
        <v>299</v>
      </c>
      <c r="B267" s="64" t="str">
        <f>'TEST CASES'!B269</f>
        <v>BYD029-02</v>
      </c>
      <c r="C267" s="64">
        <f>IF('TEST CASES'!F269="", 0, LEN(TRIM('TEST CASES'!F269))-LEN(SUBSTITUTE('TEST CASES'!F269, CHAR(10), ""))+1)</f>
        <v>2</v>
      </c>
      <c r="E267" s="64" t="str">
        <f t="shared" si="4"/>
        <v>Open</v>
      </c>
      <c r="F267" s="64" t="str">
        <f>'TEST CASES'!H269</f>
        <v>Azhar</v>
      </c>
    </row>
    <row r="268" spans="1:6">
      <c r="A268" s="63">
        <f>'TEST CASES'!A270</f>
        <v>300</v>
      </c>
      <c r="B268" s="64" t="str">
        <f>'TEST CASES'!B270</f>
        <v>BYD029-03</v>
      </c>
      <c r="C268" s="64">
        <f>IF('TEST CASES'!F270="", 0, LEN(TRIM('TEST CASES'!F270))-LEN(SUBSTITUTE('TEST CASES'!F270, CHAR(10), ""))+1)</f>
        <v>2</v>
      </c>
      <c r="E268" s="64" t="str">
        <f t="shared" si="4"/>
        <v>Open</v>
      </c>
      <c r="F268" s="64" t="str">
        <f>'TEST CASES'!H270</f>
        <v>Azhar</v>
      </c>
    </row>
    <row r="269" spans="1:6">
      <c r="A269" s="63">
        <f>'TEST CASES'!A271</f>
        <v>301</v>
      </c>
      <c r="B269" s="64" t="str">
        <f>'TEST CASES'!B271</f>
        <v>BYD029-04</v>
      </c>
      <c r="C269" s="64">
        <f>IF('TEST CASES'!F271="", 0, LEN(TRIM('TEST CASES'!F271))-LEN(SUBSTITUTE('TEST CASES'!F271, CHAR(10), ""))+1)</f>
        <v>2</v>
      </c>
      <c r="E269" s="64" t="str">
        <f t="shared" si="4"/>
        <v>Open</v>
      </c>
      <c r="F269" s="64" t="str">
        <f>'TEST CASES'!H271</f>
        <v>Azhar</v>
      </c>
    </row>
    <row r="270" spans="1:6">
      <c r="A270" s="63">
        <f>'TEST CASES'!A272</f>
        <v>302</v>
      </c>
      <c r="B270" s="64" t="str">
        <f>'TEST CASES'!B272</f>
        <v>BYD029-05</v>
      </c>
      <c r="C270" s="64">
        <f>IF('TEST CASES'!F272="", 0, LEN(TRIM('TEST CASES'!F272))-LEN(SUBSTITUTE('TEST CASES'!F272, CHAR(10), ""))+1)</f>
        <v>4</v>
      </c>
      <c r="E270" s="64" t="str">
        <f t="shared" si="4"/>
        <v>Open</v>
      </c>
      <c r="F270" s="64" t="str">
        <f>'TEST CASES'!H272</f>
        <v>Azhar</v>
      </c>
    </row>
    <row r="271" spans="1:6">
      <c r="A271" s="63">
        <f>'TEST CASES'!A273</f>
        <v>303</v>
      </c>
      <c r="B271" s="64" t="str">
        <f>'TEST CASES'!B273</f>
        <v>BYD030-01</v>
      </c>
      <c r="C271" s="64">
        <f>IF('TEST CASES'!F273="", 0, LEN(TRIM('TEST CASES'!F273))-LEN(SUBSTITUTE('TEST CASES'!F273, CHAR(10), ""))+1)</f>
        <v>5</v>
      </c>
      <c r="E271" s="64" t="str">
        <f t="shared" si="4"/>
        <v>Open</v>
      </c>
      <c r="F271" s="64" t="str">
        <f>'TEST CASES'!H273</f>
        <v>Affinia</v>
      </c>
    </row>
    <row r="272" spans="1:6">
      <c r="A272" s="63">
        <f>'TEST CASES'!A274</f>
        <v>304</v>
      </c>
      <c r="B272" s="64" t="str">
        <f>'TEST CASES'!B274</f>
        <v>BYD030-02</v>
      </c>
      <c r="C272" s="64">
        <f>IF('TEST CASES'!F274="", 0, LEN(TRIM('TEST CASES'!F274))-LEN(SUBSTITUTE('TEST CASES'!F274, CHAR(10), ""))+1)</f>
        <v>2</v>
      </c>
      <c r="E272" s="64" t="str">
        <f t="shared" si="4"/>
        <v>Open</v>
      </c>
      <c r="F272" s="64" t="str">
        <f>'TEST CASES'!H274</f>
        <v>Affinia</v>
      </c>
    </row>
    <row r="273" spans="1:6">
      <c r="A273" s="63">
        <f>'TEST CASES'!A275</f>
        <v>305</v>
      </c>
      <c r="B273" s="64" t="str">
        <f>'TEST CASES'!B275</f>
        <v>BYD030-03</v>
      </c>
      <c r="C273" s="64">
        <f>IF('TEST CASES'!F275="", 0, LEN(TRIM('TEST CASES'!F275))-LEN(SUBSTITUTE('TEST CASES'!F275, CHAR(10), ""))+1)</f>
        <v>2</v>
      </c>
      <c r="E273" s="64" t="str">
        <f t="shared" si="4"/>
        <v>Open</v>
      </c>
      <c r="F273" s="64" t="str">
        <f>'TEST CASES'!H275</f>
        <v>Affinia</v>
      </c>
    </row>
    <row r="274" spans="1:6">
      <c r="A274" s="63">
        <f>'TEST CASES'!A276</f>
        <v>306</v>
      </c>
      <c r="B274" s="64" t="str">
        <f>'TEST CASES'!B276</f>
        <v>BYD030-04</v>
      </c>
      <c r="C274" s="64">
        <f>IF('TEST CASES'!F276="", 0, LEN(TRIM('TEST CASES'!F276))-LEN(SUBSTITUTE('TEST CASES'!F276, CHAR(10), ""))+1)</f>
        <v>2</v>
      </c>
      <c r="E274" s="64" t="str">
        <f t="shared" si="4"/>
        <v>Open</v>
      </c>
      <c r="F274" s="64" t="str">
        <f>'TEST CASES'!H276</f>
        <v>Affinia</v>
      </c>
    </row>
    <row r="275" spans="1:6">
      <c r="A275" s="63">
        <f>'TEST CASES'!A277</f>
        <v>307</v>
      </c>
      <c r="B275" s="64" t="str">
        <f>'TEST CASES'!B277</f>
        <v>BYD030-05</v>
      </c>
      <c r="C275" s="64">
        <f>IF('TEST CASES'!F277="", 0, LEN(TRIM('TEST CASES'!F277))-LEN(SUBSTITUTE('TEST CASES'!F277, CHAR(10), ""))+1)</f>
        <v>4</v>
      </c>
      <c r="E275" s="64" t="str">
        <f t="shared" si="4"/>
        <v>Open</v>
      </c>
      <c r="F275" s="64" t="str">
        <f>'TEST CASES'!H277</f>
        <v>Affinia</v>
      </c>
    </row>
    <row r="276" spans="1:6">
      <c r="A276" s="63">
        <f>'TEST CASES'!A278</f>
        <v>308</v>
      </c>
      <c r="B276" s="64" t="str">
        <f>'TEST CASES'!B278</f>
        <v>BYD031-01</v>
      </c>
      <c r="C276" s="64">
        <f>IF('TEST CASES'!F278="", 0, LEN(TRIM('TEST CASES'!F278))-LEN(SUBSTITUTE('TEST CASES'!F278, CHAR(10), ""))+1)</f>
        <v>5</v>
      </c>
      <c r="E276" s="64" t="str">
        <f t="shared" si="4"/>
        <v>Open</v>
      </c>
      <c r="F276" s="64" t="str">
        <f>'TEST CASES'!H278</f>
        <v>Kevin</v>
      </c>
    </row>
    <row r="277" spans="1:6">
      <c r="A277" s="63">
        <f>'TEST CASES'!A279</f>
        <v>309</v>
      </c>
      <c r="B277" s="64" t="str">
        <f>'TEST CASES'!B279</f>
        <v>BYD031-02</v>
      </c>
      <c r="C277" s="64">
        <f>IF('TEST CASES'!F279="", 0, LEN(TRIM('TEST CASES'!F279))-LEN(SUBSTITUTE('TEST CASES'!F279, CHAR(10), ""))+1)</f>
        <v>2</v>
      </c>
      <c r="E277" s="64" t="str">
        <f t="shared" si="4"/>
        <v>Open</v>
      </c>
      <c r="F277" s="64" t="str">
        <f>'TEST CASES'!H279</f>
        <v>Kevin</v>
      </c>
    </row>
    <row r="278" spans="1:6">
      <c r="A278" s="63">
        <f>'TEST CASES'!A280</f>
        <v>310</v>
      </c>
      <c r="B278" s="64" t="str">
        <f>'TEST CASES'!B280</f>
        <v>BYD031-03</v>
      </c>
      <c r="C278" s="64">
        <f>IF('TEST CASES'!F280="", 0, LEN(TRIM('TEST CASES'!F280))-LEN(SUBSTITUTE('TEST CASES'!F280, CHAR(10), ""))+1)</f>
        <v>2</v>
      </c>
      <c r="E278" s="64" t="str">
        <f t="shared" si="4"/>
        <v>Open</v>
      </c>
      <c r="F278" s="64" t="str">
        <f>'TEST CASES'!H280</f>
        <v>Kevin</v>
      </c>
    </row>
    <row r="279" spans="1:6">
      <c r="A279" s="63">
        <f>'TEST CASES'!A281</f>
        <v>311</v>
      </c>
      <c r="B279" s="64" t="str">
        <f>'TEST CASES'!B281</f>
        <v>BYD031-04</v>
      </c>
      <c r="C279" s="64">
        <f>IF('TEST CASES'!F281="", 0, LEN(TRIM('TEST CASES'!F281))-LEN(SUBSTITUTE('TEST CASES'!F281, CHAR(10), ""))+1)</f>
        <v>2</v>
      </c>
      <c r="E279" s="64" t="str">
        <f t="shared" si="4"/>
        <v>Open</v>
      </c>
      <c r="F279" s="64" t="str">
        <f>'TEST CASES'!H281</f>
        <v>Kevin</v>
      </c>
    </row>
    <row r="280" spans="1:6">
      <c r="A280" s="63">
        <f>'TEST CASES'!A282</f>
        <v>312</v>
      </c>
      <c r="B280" s="64" t="str">
        <f>'TEST CASES'!B282</f>
        <v>BYD031-05</v>
      </c>
      <c r="C280" s="64">
        <f>IF('TEST CASES'!F282="", 0, LEN(TRIM('TEST CASES'!F282))-LEN(SUBSTITUTE('TEST CASES'!F282, CHAR(10), ""))+1)</f>
        <v>2</v>
      </c>
      <c r="E280" s="64" t="str">
        <f t="shared" si="4"/>
        <v>Open</v>
      </c>
      <c r="F280" s="64" t="str">
        <f>'TEST CASES'!H282</f>
        <v>Kevin</v>
      </c>
    </row>
    <row r="281" spans="1:6">
      <c r="A281" s="63">
        <f>'TEST CASES'!A283</f>
        <v>313</v>
      </c>
      <c r="B281" s="64" t="str">
        <f>'TEST CASES'!B283</f>
        <v>BYD031-06</v>
      </c>
      <c r="C281" s="64">
        <f>IF('TEST CASES'!F283="", 0, LEN(TRIM('TEST CASES'!F283))-LEN(SUBSTITUTE('TEST CASES'!F283, CHAR(10), ""))+1)</f>
        <v>4</v>
      </c>
      <c r="E281" s="64" t="str">
        <f t="shared" si="4"/>
        <v>Open</v>
      </c>
      <c r="F281" s="64" t="str">
        <f>'TEST CASES'!H283</f>
        <v>Kevin</v>
      </c>
    </row>
    <row r="282" spans="1:6">
      <c r="A282" s="63">
        <f>'TEST CASES'!A284</f>
        <v>314</v>
      </c>
      <c r="B282" s="64" t="str">
        <f>'TEST CASES'!B284</f>
        <v>BYD032-01</v>
      </c>
      <c r="C282" s="64">
        <f>IF('TEST CASES'!F284="", 0, LEN(TRIM('TEST CASES'!F284))-LEN(SUBSTITUTE('TEST CASES'!F284, CHAR(10), ""))+1)</f>
        <v>5</v>
      </c>
      <c r="E282" s="64" t="str">
        <f t="shared" si="4"/>
        <v>Open</v>
      </c>
      <c r="F282" s="64" t="str">
        <f>'TEST CASES'!H284</f>
        <v>Rasya</v>
      </c>
    </row>
    <row r="283" spans="1:6">
      <c r="A283" s="63">
        <f>'TEST CASES'!A285</f>
        <v>315</v>
      </c>
      <c r="B283" s="64" t="str">
        <f>'TEST CASES'!B285</f>
        <v>BYD032-02</v>
      </c>
      <c r="C283" s="64">
        <f>IF('TEST CASES'!F285="", 0, LEN(TRIM('TEST CASES'!F285))-LEN(SUBSTITUTE('TEST CASES'!F285, CHAR(10), ""))+1)</f>
        <v>2</v>
      </c>
      <c r="E283" s="64" t="str">
        <f t="shared" si="4"/>
        <v>Open</v>
      </c>
      <c r="F283" s="64" t="str">
        <f>'TEST CASES'!H285</f>
        <v>Rasya</v>
      </c>
    </row>
    <row r="284" spans="1:6">
      <c r="A284" s="63">
        <f>'TEST CASES'!A286</f>
        <v>316</v>
      </c>
      <c r="B284" s="64" t="str">
        <f>'TEST CASES'!B286</f>
        <v>BYD032-03</v>
      </c>
      <c r="C284" s="64">
        <f>IF('TEST CASES'!F286="", 0, LEN(TRIM('TEST CASES'!F286))-LEN(SUBSTITUTE('TEST CASES'!F286, CHAR(10), ""))+1)</f>
        <v>4</v>
      </c>
      <c r="E284" s="64" t="str">
        <f t="shared" si="4"/>
        <v>Open</v>
      </c>
      <c r="F284" s="64" t="str">
        <f>'TEST CASES'!H286</f>
        <v>Rasya</v>
      </c>
    </row>
    <row r="285" spans="1:6">
      <c r="A285" s="63">
        <f>'TEST CASES'!A287</f>
        <v>317</v>
      </c>
      <c r="B285" s="64" t="str">
        <f>'TEST CASES'!B287</f>
        <v>BYD033-01</v>
      </c>
      <c r="C285" s="64">
        <f>IF('TEST CASES'!F287="", 0, LEN(TRIM('TEST CASES'!F287))-LEN(SUBSTITUTE('TEST CASES'!F287, CHAR(10), ""))+1)</f>
        <v>5</v>
      </c>
      <c r="E285" s="64" t="str">
        <f t="shared" si="4"/>
        <v>Open</v>
      </c>
      <c r="F285" s="64" t="str">
        <f>'TEST CASES'!H287</f>
        <v>Azhar</v>
      </c>
    </row>
    <row r="286" spans="1:6">
      <c r="A286" s="63">
        <f>'TEST CASES'!A288</f>
        <v>318</v>
      </c>
      <c r="B286" s="64" t="str">
        <f>'TEST CASES'!B288</f>
        <v>BYD033-02</v>
      </c>
      <c r="C286" s="64">
        <f>IF('TEST CASES'!F288="", 0, LEN(TRIM('TEST CASES'!F288))-LEN(SUBSTITUTE('TEST CASES'!F288, CHAR(10), ""))+1)</f>
        <v>2</v>
      </c>
      <c r="E286" s="64" t="str">
        <f t="shared" si="4"/>
        <v>Open</v>
      </c>
      <c r="F286" s="64" t="str">
        <f>'TEST CASES'!H288</f>
        <v>Azhar</v>
      </c>
    </row>
    <row r="287" spans="1:6">
      <c r="A287" s="63">
        <f>'TEST CASES'!A289</f>
        <v>319</v>
      </c>
      <c r="B287" s="64" t="str">
        <f>'TEST CASES'!B289</f>
        <v>BYD033-03</v>
      </c>
      <c r="C287" s="64">
        <f>IF('TEST CASES'!F289="", 0, LEN(TRIM('TEST CASES'!F289))-LEN(SUBSTITUTE('TEST CASES'!F289, CHAR(10), ""))+1)</f>
        <v>2</v>
      </c>
      <c r="E287" s="64" t="str">
        <f t="shared" si="4"/>
        <v>Open</v>
      </c>
      <c r="F287" s="64" t="str">
        <f>'TEST CASES'!H289</f>
        <v>Azhar</v>
      </c>
    </row>
    <row r="288" spans="1:6">
      <c r="A288" s="63">
        <f>'TEST CASES'!A290</f>
        <v>320</v>
      </c>
      <c r="B288" s="64" t="str">
        <f>'TEST CASES'!B290</f>
        <v>BYD033-04</v>
      </c>
      <c r="C288" s="64">
        <f>IF('TEST CASES'!F290="", 0, LEN(TRIM('TEST CASES'!F290))-LEN(SUBSTITUTE('TEST CASES'!F290, CHAR(10), ""))+1)</f>
        <v>4</v>
      </c>
      <c r="E288" s="64" t="str">
        <f t="shared" si="4"/>
        <v>Open</v>
      </c>
      <c r="F288" s="64" t="str">
        <f>'TEST CASES'!H290</f>
        <v>Azhar</v>
      </c>
    </row>
    <row r="289" spans="1:6">
      <c r="A289" s="63">
        <f>'TEST CASES'!A291</f>
        <v>321</v>
      </c>
      <c r="B289" s="64" t="str">
        <f>'TEST CASES'!B291</f>
        <v>BYD034-01</v>
      </c>
      <c r="C289" s="64">
        <f>IF('TEST CASES'!F291="", 0, LEN(TRIM('TEST CASES'!F291))-LEN(SUBSTITUTE('TEST CASES'!F291, CHAR(10), ""))+1)</f>
        <v>5</v>
      </c>
      <c r="E289" s="64" t="str">
        <f t="shared" si="4"/>
        <v>Open</v>
      </c>
      <c r="F289" s="64" t="str">
        <f>'TEST CASES'!H291</f>
        <v>Affinia</v>
      </c>
    </row>
    <row r="290" spans="1:6">
      <c r="A290" s="63">
        <f>'TEST CASES'!A292</f>
        <v>322</v>
      </c>
      <c r="B290" s="64" t="str">
        <f>'TEST CASES'!B292</f>
        <v>BYD034-02</v>
      </c>
      <c r="C290" s="64">
        <f>IF('TEST CASES'!F292="", 0, LEN(TRIM('TEST CASES'!F292))-LEN(SUBSTITUTE('TEST CASES'!F292, CHAR(10), ""))+1)</f>
        <v>2</v>
      </c>
      <c r="E290" s="64" t="str">
        <f t="shared" si="4"/>
        <v>Open</v>
      </c>
      <c r="F290" s="64" t="str">
        <f>'TEST CASES'!H292</f>
        <v>Affinia</v>
      </c>
    </row>
    <row r="291" spans="1:6">
      <c r="A291" s="63">
        <f>'TEST CASES'!A293</f>
        <v>323</v>
      </c>
      <c r="B291" s="64" t="str">
        <f>'TEST CASES'!B293</f>
        <v>BYD034-03</v>
      </c>
      <c r="C291" s="64">
        <f>IF('TEST CASES'!F293="", 0, LEN(TRIM('TEST CASES'!F293))-LEN(SUBSTITUTE('TEST CASES'!F293, CHAR(10), ""))+1)</f>
        <v>2</v>
      </c>
      <c r="E291" s="64" t="str">
        <f t="shared" si="4"/>
        <v>Open</v>
      </c>
      <c r="F291" s="64" t="str">
        <f>'TEST CASES'!H293</f>
        <v>Affinia</v>
      </c>
    </row>
    <row r="292" spans="1:6">
      <c r="A292" s="63">
        <f>'TEST CASES'!A294</f>
        <v>324</v>
      </c>
      <c r="B292" s="64" t="str">
        <f>'TEST CASES'!B294</f>
        <v>BYD034-04</v>
      </c>
      <c r="C292" s="64">
        <f>IF('TEST CASES'!F294="", 0, LEN(TRIM('TEST CASES'!F294))-LEN(SUBSTITUTE('TEST CASES'!F294, CHAR(10), ""))+1)</f>
        <v>2</v>
      </c>
      <c r="E292" s="64" t="str">
        <f t="shared" si="4"/>
        <v>Open</v>
      </c>
      <c r="F292" s="64" t="str">
        <f>'TEST CASES'!H294</f>
        <v>Affinia</v>
      </c>
    </row>
    <row r="293" spans="1:6">
      <c r="A293" s="63">
        <f>'TEST CASES'!A295</f>
        <v>325</v>
      </c>
      <c r="B293" s="64" t="str">
        <f>'TEST CASES'!B295</f>
        <v>BYD034-05</v>
      </c>
      <c r="C293" s="64">
        <f>IF('TEST CASES'!F295="", 0, LEN(TRIM('TEST CASES'!F295))-LEN(SUBSTITUTE('TEST CASES'!F295, CHAR(10), ""))+1)</f>
        <v>4</v>
      </c>
      <c r="E293" s="64" t="str">
        <f t="shared" si="4"/>
        <v>Open</v>
      </c>
      <c r="F293" s="64" t="str">
        <f>'TEST CASES'!H295</f>
        <v>Affinia</v>
      </c>
    </row>
    <row r="294" spans="1:6">
      <c r="A294" s="63">
        <f>'TEST CASES'!A296</f>
        <v>326</v>
      </c>
      <c r="B294" s="64" t="str">
        <f>'TEST CASES'!B296</f>
        <v>BYD035-01</v>
      </c>
      <c r="C294" s="64">
        <f>IF('TEST CASES'!F296="", 0, LEN(TRIM('TEST CASES'!F296))-LEN(SUBSTITUTE('TEST CASES'!F296, CHAR(10), ""))+1)</f>
        <v>5</v>
      </c>
      <c r="E294" s="64" t="str">
        <f t="shared" si="4"/>
        <v>Open</v>
      </c>
      <c r="F294" s="64" t="str">
        <f>'TEST CASES'!H296</f>
        <v>Kevin</v>
      </c>
    </row>
    <row r="295" spans="1:6">
      <c r="A295" s="63">
        <f>'TEST CASES'!A297</f>
        <v>327</v>
      </c>
      <c r="B295" s="64" t="str">
        <f>'TEST CASES'!B297</f>
        <v>BYD035-02</v>
      </c>
      <c r="C295" s="64">
        <f>IF('TEST CASES'!F297="", 0, LEN(TRIM('TEST CASES'!F297))-LEN(SUBSTITUTE('TEST CASES'!F297, CHAR(10), ""))+1)</f>
        <v>7</v>
      </c>
      <c r="E295" s="64" t="str">
        <f t="shared" si="4"/>
        <v>Open</v>
      </c>
      <c r="F295" s="64" t="str">
        <f>'TEST CASES'!H297</f>
        <v>Kevin</v>
      </c>
    </row>
    <row r="296" spans="1:6">
      <c r="A296" s="63">
        <f>'TEST CASES'!A298</f>
        <v>328</v>
      </c>
      <c r="B296" s="64" t="str">
        <f>'TEST CASES'!B298</f>
        <v>BYD035-03</v>
      </c>
      <c r="C296" s="64">
        <f>IF('TEST CASES'!F298="", 0, LEN(TRIM('TEST CASES'!F298))-LEN(SUBSTITUTE('TEST CASES'!F298, CHAR(10), ""))+1)</f>
        <v>10</v>
      </c>
      <c r="E296" s="64" t="str">
        <f t="shared" si="4"/>
        <v>Open</v>
      </c>
      <c r="F296" s="64" t="str">
        <f>'TEST CASES'!H298</f>
        <v>Kevin</v>
      </c>
    </row>
    <row r="297" spans="1:6">
      <c r="A297" s="63">
        <f>'TEST CASES'!A299</f>
        <v>329</v>
      </c>
      <c r="B297" s="64" t="str">
        <f>'TEST CASES'!B299</f>
        <v>BYD035-04</v>
      </c>
      <c r="C297" s="64">
        <f>IF('TEST CASES'!F299="", 0, LEN(TRIM('TEST CASES'!F299))-LEN(SUBSTITUTE('TEST CASES'!F299, CHAR(10), ""))+1)</f>
        <v>5</v>
      </c>
      <c r="E297" s="64" t="str">
        <f t="shared" si="4"/>
        <v>Open</v>
      </c>
      <c r="F297" s="64" t="str">
        <f>'TEST CASES'!H299</f>
        <v>Kevin</v>
      </c>
    </row>
    <row r="298" spans="1:6">
      <c r="A298" s="63">
        <f>'TEST CASES'!A300</f>
        <v>330</v>
      </c>
      <c r="B298" s="64" t="str">
        <f>'TEST CASES'!B300</f>
        <v>BYD036-01</v>
      </c>
      <c r="C298" s="64">
        <f>IF('TEST CASES'!F300="", 0, LEN(TRIM('TEST CASES'!F300))-LEN(SUBSTITUTE('TEST CASES'!F300, CHAR(10), ""))+1)</f>
        <v>5</v>
      </c>
      <c r="E298" s="64" t="str">
        <f t="shared" si="4"/>
        <v>Open</v>
      </c>
      <c r="F298" s="64" t="str">
        <f>'TEST CASES'!H300</f>
        <v>Rasya</v>
      </c>
    </row>
    <row r="299" spans="1:6">
      <c r="A299" s="63">
        <f>'TEST CASES'!A301</f>
        <v>331</v>
      </c>
      <c r="B299" s="64" t="str">
        <f>'TEST CASES'!B301</f>
        <v>BYD036-02</v>
      </c>
      <c r="C299" s="64">
        <f>IF('TEST CASES'!F301="", 0, LEN(TRIM('TEST CASES'!F301))-LEN(SUBSTITUTE('TEST CASES'!F301, CHAR(10), ""))+1)</f>
        <v>7</v>
      </c>
      <c r="E299" s="64" t="str">
        <f t="shared" si="4"/>
        <v>Open</v>
      </c>
      <c r="F299" s="64" t="str">
        <f>'TEST CASES'!H301</f>
        <v>Rasya</v>
      </c>
    </row>
    <row r="300" spans="1:6">
      <c r="A300" s="63">
        <f>'TEST CASES'!A302</f>
        <v>332</v>
      </c>
      <c r="B300" s="64" t="str">
        <f>'TEST CASES'!B302</f>
        <v>BYD036-03</v>
      </c>
      <c r="C300" s="64">
        <f>IF('TEST CASES'!F302="", 0, LEN(TRIM('TEST CASES'!F302))-LEN(SUBSTITUTE('TEST CASES'!F302, CHAR(10), ""))+1)</f>
        <v>10</v>
      </c>
      <c r="E300" s="64" t="str">
        <f t="shared" si="4"/>
        <v>Open</v>
      </c>
      <c r="F300" s="64" t="str">
        <f>'TEST CASES'!H302</f>
        <v>Rasya</v>
      </c>
    </row>
    <row r="301" spans="1:6">
      <c r="A301" s="63">
        <f>'TEST CASES'!A303</f>
        <v>333</v>
      </c>
      <c r="B301" s="64" t="str">
        <f>'TEST CASES'!B303</f>
        <v>BYD036-04</v>
      </c>
      <c r="C301" s="64">
        <f>IF('TEST CASES'!F303="", 0, LEN(TRIM('TEST CASES'!F303))-LEN(SUBSTITUTE('TEST CASES'!F303, CHAR(10), ""))+1)</f>
        <v>5</v>
      </c>
      <c r="E301" s="64" t="str">
        <f t="shared" si="4"/>
        <v>Open</v>
      </c>
      <c r="F301" s="64" t="str">
        <f>'TEST CASES'!H303</f>
        <v>Rasya</v>
      </c>
    </row>
    <row r="302" spans="1:6">
      <c r="A302" s="63">
        <f>'TEST CASES'!A304</f>
        <v>334</v>
      </c>
      <c r="B302" s="64" t="str">
        <f>'TEST CASES'!B304</f>
        <v>BYD037-01</v>
      </c>
      <c r="C302" s="64">
        <f>IF('TEST CASES'!F304="", 0, LEN(TRIM('TEST CASES'!F304))-LEN(SUBSTITUTE('TEST CASES'!F304, CHAR(10), ""))+1)</f>
        <v>5</v>
      </c>
      <c r="E302" s="64" t="str">
        <f t="shared" si="4"/>
        <v>Open</v>
      </c>
      <c r="F302" s="64" t="str">
        <f>'TEST CASES'!H304</f>
        <v>Azhar</v>
      </c>
    </row>
    <row r="303" spans="1:6">
      <c r="A303" s="63">
        <f>'TEST CASES'!A305</f>
        <v>335</v>
      </c>
      <c r="B303" s="64" t="str">
        <f>'TEST CASES'!B305</f>
        <v>BYD037-02</v>
      </c>
      <c r="C303" s="64">
        <f>IF('TEST CASES'!F305="", 0, LEN(TRIM('TEST CASES'!F305))-LEN(SUBSTITUTE('TEST CASES'!F305, CHAR(10), ""))+1)</f>
        <v>7</v>
      </c>
      <c r="E303" s="64" t="str">
        <f t="shared" si="4"/>
        <v>Open</v>
      </c>
      <c r="F303" s="64" t="str">
        <f>'TEST CASES'!H305</f>
        <v>Azhar</v>
      </c>
    </row>
    <row r="304" spans="1:6">
      <c r="A304" s="63">
        <f>'TEST CASES'!A306</f>
        <v>336</v>
      </c>
      <c r="B304" s="64" t="str">
        <f>'TEST CASES'!B306</f>
        <v>BYD037-03</v>
      </c>
      <c r="C304" s="64">
        <f>IF('TEST CASES'!F306="", 0, LEN(TRIM('TEST CASES'!F306))-LEN(SUBSTITUTE('TEST CASES'!F306, CHAR(10), ""))+1)</f>
        <v>10</v>
      </c>
      <c r="E304" s="64" t="str">
        <f t="shared" si="4"/>
        <v>Open</v>
      </c>
      <c r="F304" s="64" t="str">
        <f>'TEST CASES'!H306</f>
        <v>Azhar</v>
      </c>
    </row>
    <row r="305" spans="1:6">
      <c r="A305" s="63">
        <f>'TEST CASES'!A307</f>
        <v>337</v>
      </c>
      <c r="B305" s="64" t="str">
        <f>'TEST CASES'!B307</f>
        <v>BYD037-04</v>
      </c>
      <c r="C305" s="64">
        <f>IF('TEST CASES'!F307="", 0, LEN(TRIM('TEST CASES'!F307))-LEN(SUBSTITUTE('TEST CASES'!F307, CHAR(10), ""))+1)</f>
        <v>5</v>
      </c>
      <c r="E305" s="64" t="str">
        <f t="shared" si="4"/>
        <v>Open</v>
      </c>
      <c r="F305" s="64" t="str">
        <f>'TEST CASES'!H307</f>
        <v>Azhar</v>
      </c>
    </row>
    <row r="306" spans="1:6">
      <c r="A306" s="63">
        <f>'TEST CASES'!A308</f>
        <v>338</v>
      </c>
      <c r="B306" s="64" t="str">
        <f>'TEST CASES'!B308</f>
        <v>BYD038-01</v>
      </c>
      <c r="C306" s="64">
        <f>IF('TEST CASES'!F308="", 0, LEN(TRIM('TEST CASES'!F308))-LEN(SUBSTITUTE('TEST CASES'!F308, CHAR(10), ""))+1)</f>
        <v>5</v>
      </c>
      <c r="E306" s="64" t="str">
        <f t="shared" si="4"/>
        <v>Open</v>
      </c>
      <c r="F306" s="64" t="str">
        <f>'TEST CASES'!H308</f>
        <v>Affinia</v>
      </c>
    </row>
    <row r="307" spans="1:6">
      <c r="A307" s="63">
        <f>'TEST CASES'!A309</f>
        <v>339</v>
      </c>
      <c r="B307" s="64" t="str">
        <f>'TEST CASES'!B309</f>
        <v>BYD038-02</v>
      </c>
      <c r="C307" s="64">
        <f>IF('TEST CASES'!F309="", 0, LEN(TRIM('TEST CASES'!F309))-LEN(SUBSTITUTE('TEST CASES'!F309, CHAR(10), ""))+1)</f>
        <v>7</v>
      </c>
      <c r="E307" s="64" t="str">
        <f t="shared" si="4"/>
        <v>Open</v>
      </c>
      <c r="F307" s="64" t="str">
        <f>'TEST CASES'!H309</f>
        <v>Affinia</v>
      </c>
    </row>
    <row r="308" spans="1:6">
      <c r="A308" s="63">
        <f>'TEST CASES'!A310</f>
        <v>340</v>
      </c>
      <c r="B308" s="64" t="str">
        <f>'TEST CASES'!B310</f>
        <v>BYD038-03</v>
      </c>
      <c r="C308" s="64">
        <f>IF('TEST CASES'!F310="", 0, LEN(TRIM('TEST CASES'!F310))-LEN(SUBSTITUTE('TEST CASES'!F310, CHAR(10), ""))+1)</f>
        <v>10</v>
      </c>
      <c r="E308" s="64" t="str">
        <f t="shared" si="4"/>
        <v>Open</v>
      </c>
      <c r="F308" s="64" t="str">
        <f>'TEST CASES'!H310</f>
        <v>Affinia</v>
      </c>
    </row>
    <row r="309" spans="1:6">
      <c r="A309" s="63">
        <f>'TEST CASES'!A311</f>
        <v>341</v>
      </c>
      <c r="B309" s="64" t="str">
        <f>'TEST CASES'!B311</f>
        <v>BYD038-04</v>
      </c>
      <c r="C309" s="64">
        <f>IF('TEST CASES'!F311="", 0, LEN(TRIM('TEST CASES'!F311))-LEN(SUBSTITUTE('TEST CASES'!F311, CHAR(10), ""))+1)</f>
        <v>5</v>
      </c>
      <c r="E309" s="64" t="str">
        <f t="shared" si="4"/>
        <v>Open</v>
      </c>
      <c r="F309" s="64" t="str">
        <f>'TEST CASES'!H311</f>
        <v>Affinia</v>
      </c>
    </row>
    <row r="310" spans="1:6">
      <c r="A310" s="63">
        <f>'TEST CASES'!A312</f>
        <v>342</v>
      </c>
      <c r="B310" s="64" t="str">
        <f>'TEST CASES'!B312</f>
        <v>BYD039-01</v>
      </c>
      <c r="C310" s="64">
        <f>IF('TEST CASES'!F312="", 0, LEN(TRIM('TEST CASES'!F312))-LEN(SUBSTITUTE('TEST CASES'!F312, CHAR(10), ""))+1)</f>
        <v>5</v>
      </c>
      <c r="E310" s="64" t="str">
        <f t="shared" si="4"/>
        <v>Open</v>
      </c>
      <c r="F310" s="64" t="str">
        <f>'TEST CASES'!H312</f>
        <v>Kevin</v>
      </c>
    </row>
    <row r="311" spans="1:6">
      <c r="A311" s="63">
        <f>'TEST CASES'!A313</f>
        <v>343</v>
      </c>
      <c r="B311" s="64" t="str">
        <f>'TEST CASES'!B313</f>
        <v>BYD039-02</v>
      </c>
      <c r="C311" s="64">
        <f>IF('TEST CASES'!F313="", 0, LEN(TRIM('TEST CASES'!F313))-LEN(SUBSTITUTE('TEST CASES'!F313, CHAR(10), ""))+1)</f>
        <v>4</v>
      </c>
      <c r="E311" s="64" t="str">
        <f t="shared" si="4"/>
        <v>Open</v>
      </c>
      <c r="F311" s="64" t="str">
        <f>'TEST CASES'!H313</f>
        <v>Kevin</v>
      </c>
    </row>
    <row r="312" spans="1:6">
      <c r="A312" s="63">
        <f>'TEST CASES'!A314</f>
        <v>344</v>
      </c>
      <c r="B312" s="64" t="str">
        <f>'TEST CASES'!B314</f>
        <v>BYD040-01</v>
      </c>
      <c r="C312" s="64">
        <f>IF('TEST CASES'!F314="", 0, LEN(TRIM('TEST CASES'!F314))-LEN(SUBSTITUTE('TEST CASES'!F314, CHAR(10), ""))+1)</f>
        <v>5</v>
      </c>
      <c r="E312" s="64" t="str">
        <f t="shared" si="4"/>
        <v>Open</v>
      </c>
      <c r="F312" s="64" t="str">
        <f>'TEST CASES'!H314</f>
        <v>Azhar</v>
      </c>
    </row>
    <row r="313" spans="1:6">
      <c r="A313" s="63">
        <f>'TEST CASES'!A315</f>
        <v>345</v>
      </c>
      <c r="B313" s="64" t="str">
        <f>'TEST CASES'!B315</f>
        <v>BYD040-02</v>
      </c>
      <c r="C313" s="64">
        <f>IF('TEST CASES'!F315="", 0, LEN(TRIM('TEST CASES'!F315))-LEN(SUBSTITUTE('TEST CASES'!F315, CHAR(10), ""))+1)</f>
        <v>6</v>
      </c>
      <c r="E313" s="64" t="str">
        <f t="shared" si="4"/>
        <v>Open</v>
      </c>
      <c r="F313" s="64" t="str">
        <f>'TEST CASES'!H315</f>
        <v>Azhar</v>
      </c>
    </row>
    <row r="314" spans="1:6">
      <c r="A314" s="63">
        <f>'TEST CASES'!A316</f>
        <v>346</v>
      </c>
      <c r="B314" s="64" t="str">
        <f>'TEST CASES'!B316</f>
        <v>BYD041-01</v>
      </c>
      <c r="C314" s="64">
        <f>IF('TEST CASES'!F316="", 0, LEN(TRIM('TEST CASES'!F316))-LEN(SUBSTITUTE('TEST CASES'!F316, CHAR(10), ""))+1)</f>
        <v>4</v>
      </c>
      <c r="E314" s="64" t="str">
        <f t="shared" si="4"/>
        <v>Open</v>
      </c>
      <c r="F314" s="64" t="str">
        <f>'TEST CASES'!H316</f>
        <v>Rasya</v>
      </c>
    </row>
    <row r="315" spans="1:6">
      <c r="A315" s="63">
        <f>'TEST CASES'!A317</f>
        <v>347</v>
      </c>
      <c r="B315" s="64" t="str">
        <f>'TEST CASES'!B317</f>
        <v>BYD041-02</v>
      </c>
      <c r="C315" s="64">
        <f>IF('TEST CASES'!F317="", 0, LEN(TRIM('TEST CASES'!F317))-LEN(SUBSTITUTE('TEST CASES'!F317, CHAR(10), ""))+1)</f>
        <v>5</v>
      </c>
      <c r="E315" s="64" t="str">
        <f t="shared" si="4"/>
        <v>Open</v>
      </c>
      <c r="F315" s="64" t="str">
        <f>'TEST CASES'!H317</f>
        <v>Rasya</v>
      </c>
    </row>
    <row r="316" spans="1:6">
      <c r="A316" s="63">
        <f>'TEST CASES'!A318</f>
        <v>348</v>
      </c>
      <c r="B316" s="64" t="str">
        <f>'TEST CASES'!B318</f>
        <v>BYD041-03</v>
      </c>
      <c r="C316" s="64">
        <f>IF('TEST CASES'!F318="", 0, LEN(TRIM('TEST CASES'!F318))-LEN(SUBSTITUTE('TEST CASES'!F318, CHAR(10), ""))+1)</f>
        <v>2</v>
      </c>
      <c r="E316" s="64" t="str">
        <f t="shared" si="4"/>
        <v>Open</v>
      </c>
      <c r="F316" s="64" t="str">
        <f>'TEST CASES'!H318</f>
        <v>Rasya</v>
      </c>
    </row>
  </sheetData>
  <dataValidations count="1">
    <dataValidation type="list" allowBlank="1" showInputMessage="1" showErrorMessage="1" sqref="E2:E1048576" xr:uid="{00000000-0002-0000-0300-000000000000}">
      <formula1>"Open, InProgress, Done, Hold"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0000"/>
  </sheetPr>
  <dimension ref="A1:R102"/>
  <sheetViews>
    <sheetView zoomScale="55" zoomScaleNormal="55" workbookViewId="0">
      <selection activeCell="J29" sqref="J29"/>
    </sheetView>
  </sheetViews>
  <sheetFormatPr defaultColWidth="8.6640625" defaultRowHeight="12"/>
  <cols>
    <col min="1" max="1" width="5.88671875" style="25" customWidth="1"/>
    <col min="2" max="2" width="15.88671875" style="25" customWidth="1"/>
    <col min="3" max="3" width="17.33203125" style="25" customWidth="1"/>
    <col min="4" max="4" width="39.33203125" style="26" customWidth="1"/>
    <col min="5" max="5" width="12.33203125" style="26" customWidth="1"/>
    <col min="6" max="6" width="21" style="25" customWidth="1"/>
    <col min="7" max="7" width="8.6640625" style="25"/>
    <col min="8" max="8" width="24.33203125" style="26" customWidth="1"/>
    <col min="9" max="9" width="8.6640625" style="25"/>
    <col min="10" max="10" width="8.6640625" style="26"/>
    <col min="11" max="11" width="8.6640625" style="25"/>
    <col min="12" max="12" width="21.33203125" style="25" customWidth="1"/>
    <col min="13" max="13" width="18.33203125" style="26" customWidth="1"/>
    <col min="14" max="14" width="8.6640625" style="25"/>
    <col min="15" max="15" width="20" style="25" customWidth="1"/>
    <col min="16" max="16" width="28" style="26" customWidth="1"/>
    <col min="17" max="17" width="18" style="25" customWidth="1"/>
    <col min="18" max="18" width="21.88671875" style="25" customWidth="1"/>
    <col min="19" max="16384" width="8.6640625" style="26"/>
  </cols>
  <sheetData>
    <row r="1" spans="1:18" s="23" customFormat="1" ht="23.4" customHeight="1">
      <c r="A1" s="27" t="s">
        <v>0</v>
      </c>
      <c r="B1" s="27" t="s">
        <v>4</v>
      </c>
      <c r="C1" s="27" t="s">
        <v>709</v>
      </c>
      <c r="D1" s="27" t="s">
        <v>710</v>
      </c>
      <c r="E1" s="27" t="s">
        <v>711</v>
      </c>
      <c r="F1" s="27" t="s">
        <v>712</v>
      </c>
      <c r="G1" s="27" t="s">
        <v>713</v>
      </c>
      <c r="H1" s="27" t="s">
        <v>714</v>
      </c>
      <c r="I1" s="27" t="s">
        <v>5</v>
      </c>
      <c r="J1" s="27" t="s">
        <v>715</v>
      </c>
      <c r="K1" s="27" t="s">
        <v>716</v>
      </c>
      <c r="L1" s="27" t="s">
        <v>717</v>
      </c>
      <c r="M1" s="27" t="s">
        <v>718</v>
      </c>
      <c r="N1" s="27" t="s">
        <v>707</v>
      </c>
      <c r="O1" s="27" t="s">
        <v>719</v>
      </c>
      <c r="P1" s="27" t="s">
        <v>720</v>
      </c>
      <c r="Q1" s="27" t="s">
        <v>721</v>
      </c>
      <c r="R1" s="27" t="s">
        <v>722</v>
      </c>
    </row>
    <row r="2" spans="1:18" s="24" customFormat="1" ht="14.4">
      <c r="A2" s="28"/>
      <c r="B2" s="28"/>
      <c r="C2" s="28"/>
      <c r="D2" s="29"/>
      <c r="E2" s="30"/>
      <c r="F2" s="28"/>
      <c r="G2" s="28"/>
      <c r="H2" s="31"/>
      <c r="I2" s="28"/>
      <c r="J2" s="30"/>
      <c r="K2" s="28"/>
      <c r="L2" s="32"/>
      <c r="M2" s="32"/>
      <c r="N2" s="28"/>
      <c r="O2" s="33"/>
      <c r="P2" s="32"/>
      <c r="Q2" s="28"/>
      <c r="R2" s="28"/>
    </row>
    <row r="3" spans="1:18" ht="14.4">
      <c r="A3" s="33"/>
      <c r="B3" s="33"/>
      <c r="C3" s="33"/>
      <c r="D3" s="34"/>
      <c r="E3" s="29"/>
      <c r="F3" s="33"/>
      <c r="G3" s="33"/>
      <c r="H3" s="31"/>
      <c r="I3" s="33"/>
      <c r="J3" s="33"/>
      <c r="K3" s="33"/>
      <c r="L3" s="32"/>
      <c r="M3" s="32"/>
      <c r="N3" s="33"/>
      <c r="O3" s="33"/>
      <c r="P3" s="35"/>
      <c r="Q3" s="33"/>
      <c r="R3" s="33"/>
    </row>
    <row r="4" spans="1:18" ht="14.4">
      <c r="A4" s="33"/>
      <c r="B4" s="33"/>
      <c r="C4" s="33"/>
      <c r="D4" s="29"/>
      <c r="E4" s="29"/>
      <c r="F4" s="33"/>
      <c r="G4" s="33"/>
      <c r="H4" s="31"/>
      <c r="I4" s="33"/>
      <c r="J4" s="29"/>
      <c r="K4" s="33"/>
      <c r="L4" s="32"/>
      <c r="M4" s="32"/>
      <c r="N4" s="33"/>
      <c r="O4" s="33"/>
      <c r="P4" s="32"/>
      <c r="Q4" s="28"/>
      <c r="R4" s="33"/>
    </row>
    <row r="5" spans="1:18" ht="14.4">
      <c r="A5" s="28"/>
      <c r="B5" s="33"/>
      <c r="C5" s="33"/>
      <c r="D5" s="29"/>
      <c r="E5" s="29"/>
      <c r="F5" s="33"/>
      <c r="G5" s="33"/>
      <c r="H5" s="31"/>
      <c r="I5" s="33"/>
      <c r="J5" s="29"/>
      <c r="K5" s="33"/>
      <c r="L5" s="36"/>
      <c r="M5" s="36"/>
      <c r="N5" s="33"/>
      <c r="O5" s="33"/>
      <c r="P5" s="36"/>
      <c r="Q5" s="33"/>
      <c r="R5" s="33"/>
    </row>
    <row r="6" spans="1:18" s="24" customFormat="1" ht="14.4">
      <c r="A6" s="33"/>
      <c r="B6" s="28"/>
      <c r="C6" s="33"/>
      <c r="D6" s="29"/>
      <c r="E6" s="30"/>
      <c r="F6" s="33"/>
      <c r="G6" s="33"/>
      <c r="H6" s="31"/>
      <c r="I6" s="33"/>
      <c r="J6" s="29"/>
      <c r="K6" s="28"/>
      <c r="L6" s="37"/>
      <c r="M6" s="37"/>
      <c r="N6" s="28"/>
      <c r="O6" s="33"/>
      <c r="P6" s="37"/>
      <c r="Q6" s="33"/>
      <c r="R6" s="33"/>
    </row>
    <row r="7" spans="1:18" s="24" customFormat="1" ht="14.4">
      <c r="A7" s="33"/>
      <c r="B7" s="28"/>
      <c r="C7" s="33"/>
      <c r="D7" s="29"/>
      <c r="E7" s="30"/>
      <c r="F7" s="28"/>
      <c r="G7" s="33"/>
      <c r="H7" s="31"/>
      <c r="I7" s="28"/>
      <c r="J7" s="30"/>
      <c r="K7" s="28"/>
      <c r="L7" s="37"/>
      <c r="M7" s="37"/>
      <c r="N7" s="28"/>
      <c r="O7" s="33"/>
      <c r="P7" s="37"/>
      <c r="Q7" s="33"/>
      <c r="R7" s="33"/>
    </row>
    <row r="8" spans="1:18" s="24" customFormat="1" ht="14.4">
      <c r="A8" s="28"/>
      <c r="B8" s="28"/>
      <c r="C8" s="33"/>
      <c r="D8" s="29"/>
      <c r="E8" s="30"/>
      <c r="F8" s="28"/>
      <c r="G8" s="28"/>
      <c r="H8" s="31"/>
      <c r="I8" s="28"/>
      <c r="J8" s="30"/>
      <c r="K8" s="33"/>
      <c r="L8" s="37"/>
      <c r="M8" s="30"/>
      <c r="N8" s="28"/>
      <c r="O8" s="33"/>
      <c r="P8" s="30"/>
      <c r="Q8" s="28"/>
      <c r="R8" s="28"/>
    </row>
    <row r="9" spans="1:18" ht="14.4">
      <c r="A9" s="33"/>
      <c r="B9" s="33"/>
      <c r="C9" s="33"/>
      <c r="D9" s="38"/>
      <c r="E9" s="29"/>
      <c r="F9" s="33"/>
      <c r="G9" s="33"/>
      <c r="H9" s="31"/>
      <c r="I9" s="33"/>
      <c r="J9" s="29"/>
      <c r="K9" s="33"/>
      <c r="L9" s="36"/>
      <c r="M9" s="36"/>
      <c r="N9" s="33"/>
      <c r="O9" s="33"/>
      <c r="P9" s="36"/>
      <c r="Q9" s="33"/>
      <c r="R9" s="33"/>
    </row>
    <row r="10" spans="1:18" s="24" customFormat="1" ht="14.4">
      <c r="A10" s="33"/>
      <c r="B10" s="33"/>
      <c r="C10" s="28"/>
      <c r="D10" s="29"/>
      <c r="E10" s="30"/>
      <c r="F10" s="28"/>
      <c r="G10" s="33"/>
      <c r="H10" s="31"/>
      <c r="I10" s="28"/>
      <c r="J10" s="30"/>
      <c r="K10" s="30"/>
      <c r="L10" s="37"/>
      <c r="M10" s="39"/>
      <c r="N10" s="28"/>
      <c r="O10" s="33"/>
      <c r="P10" s="40"/>
      <c r="Q10" s="28"/>
      <c r="R10" s="33"/>
    </row>
    <row r="11" spans="1:18" ht="14.4">
      <c r="A11" s="28"/>
      <c r="B11" s="33"/>
      <c r="C11" s="33"/>
      <c r="D11" s="29"/>
      <c r="E11" s="29"/>
      <c r="F11" s="33"/>
      <c r="G11" s="33"/>
      <c r="H11" s="31"/>
      <c r="I11" s="33"/>
      <c r="J11" s="29"/>
      <c r="K11" s="33"/>
      <c r="L11" s="37"/>
      <c r="M11" s="39"/>
      <c r="N11" s="28"/>
      <c r="O11" s="33"/>
      <c r="P11" s="37"/>
      <c r="Q11" s="28"/>
      <c r="R11" s="33"/>
    </row>
    <row r="12" spans="1:18" ht="14.4">
      <c r="A12" s="33"/>
      <c r="B12" s="33"/>
      <c r="C12" s="33"/>
      <c r="D12" s="29"/>
      <c r="E12" s="29"/>
      <c r="F12" s="28"/>
      <c r="G12" s="33"/>
      <c r="H12" s="31"/>
      <c r="I12" s="28"/>
      <c r="J12" s="29"/>
      <c r="K12" s="30"/>
      <c r="L12" s="36"/>
      <c r="M12" s="41"/>
      <c r="N12" s="33"/>
      <c r="O12" s="33"/>
      <c r="P12" s="42"/>
      <c r="Q12" s="33"/>
      <c r="R12" s="43"/>
    </row>
    <row r="13" spans="1:18" ht="14.4">
      <c r="A13" s="33"/>
      <c r="B13" s="33"/>
      <c r="C13" s="33"/>
      <c r="D13" s="29"/>
      <c r="E13" s="29"/>
      <c r="F13" s="28"/>
      <c r="G13" s="33"/>
      <c r="H13" s="31"/>
      <c r="I13" s="33"/>
      <c r="J13" s="29"/>
      <c r="K13" s="29"/>
      <c r="L13" s="36"/>
      <c r="M13" s="42"/>
      <c r="N13" s="33"/>
      <c r="O13" s="33"/>
      <c r="P13" s="41"/>
      <c r="Q13" s="33"/>
      <c r="R13" s="43"/>
    </row>
    <row r="14" spans="1:18" ht="14.4">
      <c r="A14" s="28"/>
      <c r="B14" s="33"/>
      <c r="C14" s="33"/>
      <c r="D14" s="29"/>
      <c r="E14" s="29"/>
      <c r="F14" s="33"/>
      <c r="G14" s="33"/>
      <c r="H14" s="31"/>
      <c r="I14" s="33"/>
      <c r="J14" s="29"/>
      <c r="K14" s="29"/>
      <c r="L14" s="36"/>
      <c r="M14" s="41"/>
      <c r="N14" s="28"/>
      <c r="O14" s="33"/>
      <c r="P14" s="36"/>
      <c r="Q14" s="33"/>
      <c r="R14" s="33"/>
    </row>
    <row r="15" spans="1:18" s="24" customFormat="1" ht="14.4">
      <c r="A15" s="33"/>
      <c r="B15" s="33"/>
      <c r="C15" s="33"/>
      <c r="D15" s="29"/>
      <c r="E15" s="29"/>
      <c r="F15" s="33"/>
      <c r="G15" s="33"/>
      <c r="H15" s="31"/>
      <c r="I15" s="44"/>
      <c r="J15" s="30"/>
      <c r="K15" s="33"/>
      <c r="L15" s="37"/>
      <c r="M15" s="37"/>
      <c r="N15" s="28"/>
      <c r="O15" s="33"/>
      <c r="P15" s="37"/>
      <c r="Q15" s="28"/>
      <c r="R15" s="33"/>
    </row>
    <row r="16" spans="1:18" ht="14.4">
      <c r="A16" s="33"/>
      <c r="B16" s="33"/>
      <c r="C16" s="33"/>
      <c r="D16" s="29"/>
      <c r="E16" s="29"/>
      <c r="F16" s="33"/>
      <c r="G16" s="33"/>
      <c r="H16" s="31"/>
      <c r="I16" s="33"/>
      <c r="J16" s="29"/>
      <c r="K16" s="33"/>
      <c r="L16" s="36"/>
      <c r="M16" s="36"/>
      <c r="N16" s="33"/>
      <c r="O16" s="33"/>
      <c r="P16" s="36"/>
      <c r="Q16" s="33"/>
      <c r="R16" s="33"/>
    </row>
    <row r="17" spans="1:18" ht="14.4">
      <c r="A17" s="28"/>
      <c r="B17" s="33"/>
      <c r="C17" s="33"/>
      <c r="D17" s="29"/>
      <c r="E17" s="29"/>
      <c r="F17" s="33"/>
      <c r="G17" s="33"/>
      <c r="H17" s="31"/>
      <c r="I17" s="33"/>
      <c r="J17" s="29"/>
      <c r="K17" s="30"/>
      <c r="L17" s="36"/>
      <c r="M17" s="36"/>
      <c r="N17" s="33"/>
      <c r="O17" s="33"/>
      <c r="P17" s="36"/>
      <c r="Q17" s="28"/>
      <c r="R17" s="33"/>
    </row>
    <row r="18" spans="1:18" s="24" customFormat="1" ht="14.4">
      <c r="A18" s="33"/>
      <c r="B18" s="33"/>
      <c r="C18" s="33"/>
      <c r="D18" s="29"/>
      <c r="E18" s="30"/>
      <c r="F18" s="33"/>
      <c r="G18" s="33"/>
      <c r="H18" s="31"/>
      <c r="I18" s="33"/>
      <c r="J18" s="30"/>
      <c r="K18" s="28"/>
      <c r="L18" s="37"/>
      <c r="M18" s="30"/>
      <c r="N18" s="28"/>
      <c r="O18" s="33"/>
      <c r="P18" s="39"/>
      <c r="Q18" s="28"/>
      <c r="R18" s="45"/>
    </row>
    <row r="19" spans="1:18" s="24" customFormat="1" ht="14.4">
      <c r="A19" s="33"/>
      <c r="B19" s="28"/>
      <c r="C19" s="28"/>
      <c r="D19" s="29"/>
      <c r="E19" s="30"/>
      <c r="F19" s="28"/>
      <c r="G19" s="28"/>
      <c r="H19" s="31"/>
      <c r="I19" s="28"/>
      <c r="J19" s="30"/>
      <c r="K19" s="30"/>
      <c r="L19" s="37"/>
      <c r="M19" s="37"/>
      <c r="N19" s="28"/>
      <c r="O19" s="33"/>
      <c r="P19" s="37"/>
      <c r="Q19" s="28"/>
      <c r="R19" s="33"/>
    </row>
    <row r="20" spans="1:18" s="24" customFormat="1" ht="14.4">
      <c r="A20" s="28"/>
      <c r="B20" s="28"/>
      <c r="C20" s="33"/>
      <c r="D20" s="29"/>
      <c r="E20" s="30"/>
      <c r="F20" s="33"/>
      <c r="G20" s="33"/>
      <c r="H20" s="46"/>
      <c r="I20" s="33"/>
      <c r="J20" s="30"/>
      <c r="K20" s="33"/>
      <c r="L20" s="37"/>
      <c r="M20" s="30"/>
      <c r="N20" s="28"/>
      <c r="O20" s="33"/>
      <c r="P20" s="30"/>
      <c r="Q20" s="28"/>
      <c r="R20" s="28"/>
    </row>
    <row r="21" spans="1:18" ht="14.4">
      <c r="A21" s="33"/>
      <c r="B21" s="33"/>
      <c r="C21" s="33"/>
      <c r="D21" s="29"/>
      <c r="E21" s="29"/>
      <c r="F21" s="33"/>
      <c r="G21" s="33"/>
      <c r="H21" s="31"/>
      <c r="I21" s="33"/>
      <c r="J21" s="29"/>
      <c r="K21" s="33"/>
      <c r="L21" s="36"/>
      <c r="M21" s="29"/>
      <c r="N21" s="33"/>
      <c r="O21" s="33"/>
      <c r="P21" s="29"/>
      <c r="Q21" s="33"/>
      <c r="R21" s="33"/>
    </row>
    <row r="22" spans="1:18" s="24" customFormat="1" ht="14.4">
      <c r="A22" s="33"/>
      <c r="B22" s="28"/>
      <c r="C22" s="28"/>
      <c r="D22" s="29"/>
      <c r="E22" s="30"/>
      <c r="F22" s="33"/>
      <c r="G22" s="28"/>
      <c r="H22" s="31"/>
      <c r="I22" s="28"/>
      <c r="J22" s="30"/>
      <c r="K22" s="28"/>
      <c r="L22" s="37"/>
      <c r="M22" s="30"/>
      <c r="N22" s="28"/>
      <c r="O22" s="33"/>
      <c r="P22" s="39"/>
      <c r="Q22" s="28"/>
      <c r="R22" s="28"/>
    </row>
    <row r="23" spans="1:18" s="24" customFormat="1" ht="14.4">
      <c r="A23" s="28"/>
      <c r="B23" s="28"/>
      <c r="C23" s="28"/>
      <c r="D23" s="29"/>
      <c r="E23" s="30"/>
      <c r="F23" s="33"/>
      <c r="G23" s="28"/>
      <c r="H23" s="31"/>
      <c r="I23" s="28"/>
      <c r="J23" s="30"/>
      <c r="K23" s="28"/>
      <c r="L23" s="36"/>
      <c r="M23" s="29"/>
      <c r="N23" s="33"/>
      <c r="O23" s="33"/>
      <c r="P23" s="30"/>
      <c r="Q23" s="28"/>
      <c r="R23" s="28"/>
    </row>
    <row r="24" spans="1:18" s="24" customFormat="1" ht="14.4">
      <c r="A24" s="33"/>
      <c r="B24" s="28"/>
      <c r="C24" s="28"/>
      <c r="D24" s="29"/>
      <c r="E24" s="30"/>
      <c r="F24" s="28"/>
      <c r="G24" s="28"/>
      <c r="H24" s="31"/>
      <c r="I24" s="28"/>
      <c r="J24" s="30"/>
      <c r="K24" s="28"/>
      <c r="L24" s="37"/>
      <c r="M24" s="30"/>
      <c r="N24" s="28"/>
      <c r="O24" s="33"/>
      <c r="P24" s="30"/>
      <c r="Q24" s="28"/>
      <c r="R24" s="28"/>
    </row>
    <row r="25" spans="1:18" s="24" customFormat="1" ht="14.4">
      <c r="A25" s="33"/>
      <c r="B25" s="28"/>
      <c r="C25" s="28"/>
      <c r="D25" s="29"/>
      <c r="E25" s="30"/>
      <c r="F25" s="28"/>
      <c r="G25" s="28"/>
      <c r="H25" s="46"/>
      <c r="I25" s="28"/>
      <c r="J25" s="30"/>
      <c r="K25" s="28"/>
      <c r="L25" s="37"/>
      <c r="M25" s="30"/>
      <c r="N25" s="28"/>
      <c r="O25" s="33"/>
      <c r="P25" s="30"/>
      <c r="Q25" s="28"/>
      <c r="R25" s="33"/>
    </row>
    <row r="26" spans="1:18" ht="14.4">
      <c r="A26" s="28"/>
      <c r="B26" s="33"/>
      <c r="C26" s="33"/>
      <c r="D26" s="29"/>
      <c r="E26" s="29"/>
      <c r="F26" s="33"/>
      <c r="G26" s="33"/>
      <c r="H26" s="31"/>
      <c r="I26" s="33"/>
      <c r="J26" s="29"/>
      <c r="K26" s="33"/>
      <c r="L26" s="36"/>
      <c r="M26" s="36"/>
      <c r="N26" s="33"/>
      <c r="O26" s="33"/>
      <c r="P26" s="36"/>
      <c r="Q26" s="33"/>
      <c r="R26" s="33"/>
    </row>
    <row r="27" spans="1:18" s="24" customFormat="1" ht="14.4">
      <c r="A27" s="33"/>
      <c r="B27" s="28"/>
      <c r="C27" s="28"/>
      <c r="D27" s="29"/>
      <c r="E27" s="30"/>
      <c r="F27" s="28"/>
      <c r="G27" s="28"/>
      <c r="H27" s="31"/>
      <c r="I27" s="28"/>
      <c r="J27" s="30"/>
      <c r="K27" s="28"/>
      <c r="L27" s="37"/>
      <c r="M27" s="30"/>
      <c r="N27" s="28"/>
      <c r="O27" s="33"/>
      <c r="P27" s="39"/>
      <c r="Q27" s="28"/>
      <c r="R27" s="28"/>
    </row>
    <row r="28" spans="1:18" s="24" customFormat="1" ht="14.4">
      <c r="A28" s="33"/>
      <c r="B28" s="28"/>
      <c r="C28" s="28"/>
      <c r="D28" s="29"/>
      <c r="E28" s="30"/>
      <c r="F28" s="28"/>
      <c r="G28" s="28"/>
      <c r="H28" s="46"/>
      <c r="I28" s="28"/>
      <c r="J28" s="30"/>
      <c r="K28" s="28"/>
      <c r="L28" s="37"/>
      <c r="M28" s="30"/>
      <c r="N28" s="28"/>
      <c r="O28" s="33"/>
      <c r="P28" s="30"/>
      <c r="Q28" s="28"/>
      <c r="R28" s="33"/>
    </row>
    <row r="29" spans="1:18" ht="14.4">
      <c r="A29" s="28"/>
      <c r="B29" s="33"/>
      <c r="C29" s="33"/>
      <c r="D29" s="29"/>
      <c r="E29" s="29"/>
      <c r="F29" s="33"/>
      <c r="G29" s="33"/>
      <c r="H29" s="31"/>
      <c r="I29" s="33"/>
      <c r="J29" s="29"/>
      <c r="K29" s="33"/>
      <c r="L29" s="36"/>
      <c r="M29" s="29"/>
      <c r="N29" s="33"/>
      <c r="O29" s="33"/>
      <c r="P29" s="29"/>
      <c r="Q29" s="33"/>
      <c r="R29" s="33"/>
    </row>
    <row r="30" spans="1:18" ht="14.4">
      <c r="A30" s="33"/>
      <c r="B30" s="33"/>
      <c r="C30" s="33"/>
      <c r="D30" s="29"/>
      <c r="E30" s="29"/>
      <c r="F30" s="33"/>
      <c r="G30" s="33"/>
      <c r="H30" s="31"/>
      <c r="I30" s="33"/>
      <c r="J30" s="29"/>
      <c r="K30" s="33"/>
      <c r="L30" s="36"/>
      <c r="M30" s="29"/>
      <c r="N30" s="33"/>
      <c r="O30" s="33"/>
      <c r="P30" s="36"/>
      <c r="Q30" s="33"/>
      <c r="R30" s="33"/>
    </row>
    <row r="31" spans="1:18" s="24" customFormat="1" ht="14.4">
      <c r="A31" s="33"/>
      <c r="B31" s="33"/>
      <c r="C31" s="28"/>
      <c r="D31" s="29"/>
      <c r="E31" s="30"/>
      <c r="F31" s="28"/>
      <c r="G31" s="28"/>
      <c r="H31" s="31"/>
      <c r="I31" s="28"/>
      <c r="J31" s="30"/>
      <c r="K31" s="28"/>
      <c r="L31" s="37"/>
      <c r="M31" s="30"/>
      <c r="N31" s="28"/>
      <c r="O31" s="33"/>
      <c r="P31" s="30"/>
      <c r="Q31" s="28"/>
      <c r="R31" s="28"/>
    </row>
    <row r="32" spans="1:18" ht="14.4">
      <c r="A32" s="28"/>
      <c r="B32" s="33"/>
      <c r="C32" s="33"/>
      <c r="D32" s="29"/>
      <c r="E32" s="29"/>
      <c r="F32" s="33"/>
      <c r="G32" s="33"/>
      <c r="H32" s="31"/>
      <c r="I32" s="33"/>
      <c r="J32" s="29"/>
      <c r="K32" s="33"/>
      <c r="L32" s="36"/>
      <c r="M32" s="29"/>
      <c r="N32" s="33"/>
      <c r="O32" s="33"/>
      <c r="P32" s="29"/>
      <c r="Q32" s="33"/>
      <c r="R32" s="33"/>
    </row>
    <row r="33" spans="1:18" ht="14.4">
      <c r="A33" s="33"/>
      <c r="B33" s="33"/>
      <c r="C33" s="33"/>
      <c r="D33" s="29"/>
      <c r="E33" s="29"/>
      <c r="F33" s="33"/>
      <c r="G33" s="33"/>
      <c r="H33" s="31"/>
      <c r="I33" s="33"/>
      <c r="J33" s="29"/>
      <c r="K33" s="33"/>
      <c r="L33" s="36"/>
      <c r="M33" s="29"/>
      <c r="N33" s="33"/>
      <c r="O33" s="33"/>
      <c r="P33" s="30"/>
      <c r="Q33" s="33"/>
      <c r="R33" s="33"/>
    </row>
    <row r="34" spans="1:18" ht="14.4">
      <c r="A34" s="33"/>
      <c r="B34" s="28"/>
      <c r="C34" s="33"/>
      <c r="D34" s="29"/>
      <c r="E34" s="29"/>
      <c r="F34" s="33"/>
      <c r="G34" s="33"/>
      <c r="H34" s="31"/>
      <c r="I34" s="33"/>
      <c r="J34" s="29"/>
      <c r="K34" s="33"/>
      <c r="L34" s="36"/>
      <c r="M34" s="29"/>
      <c r="N34" s="33"/>
      <c r="O34" s="33"/>
      <c r="P34" s="42"/>
      <c r="Q34" s="33"/>
      <c r="R34" s="33"/>
    </row>
    <row r="35" spans="1:18" s="24" customFormat="1" ht="14.4">
      <c r="A35" s="28"/>
      <c r="B35" s="33"/>
      <c r="C35" s="28"/>
      <c r="D35" s="29"/>
      <c r="E35" s="30"/>
      <c r="F35" s="28"/>
      <c r="G35" s="28"/>
      <c r="H35" s="31"/>
      <c r="I35" s="28"/>
      <c r="J35" s="30"/>
      <c r="K35" s="28"/>
      <c r="L35" s="37"/>
      <c r="M35" s="30"/>
      <c r="N35" s="28"/>
      <c r="O35" s="33"/>
      <c r="P35" s="30"/>
      <c r="Q35" s="28"/>
      <c r="R35" s="28"/>
    </row>
    <row r="36" spans="1:18" s="24" customFormat="1" ht="14.4">
      <c r="A36" s="33"/>
      <c r="B36" s="28"/>
      <c r="C36" s="28"/>
      <c r="D36" s="29"/>
      <c r="E36" s="30"/>
      <c r="F36" s="28"/>
      <c r="G36" s="28"/>
      <c r="H36" s="46"/>
      <c r="I36" s="28"/>
      <c r="J36" s="30"/>
      <c r="K36" s="28"/>
      <c r="L36" s="37"/>
      <c r="M36" s="30"/>
      <c r="N36" s="28"/>
      <c r="O36" s="33"/>
      <c r="P36" s="30"/>
      <c r="Q36" s="28"/>
      <c r="R36" s="28"/>
    </row>
    <row r="37" spans="1:18" ht="14.4">
      <c r="A37" s="33"/>
      <c r="B37" s="33"/>
      <c r="C37" s="33"/>
      <c r="D37" s="29"/>
      <c r="E37" s="29"/>
      <c r="F37" s="33"/>
      <c r="G37" s="33"/>
      <c r="H37" s="31"/>
      <c r="I37" s="33"/>
      <c r="J37" s="29"/>
      <c r="K37" s="33"/>
      <c r="L37" s="36"/>
      <c r="M37" s="29"/>
      <c r="N37" s="33"/>
      <c r="O37" s="33"/>
      <c r="P37" s="36"/>
      <c r="Q37" s="33"/>
      <c r="R37" s="33"/>
    </row>
    <row r="38" spans="1:18" ht="14.4">
      <c r="A38" s="28"/>
      <c r="B38" s="33"/>
      <c r="C38" s="33"/>
      <c r="D38" s="29"/>
      <c r="E38" s="29"/>
      <c r="F38" s="33"/>
      <c r="G38" s="33"/>
      <c r="H38" s="31"/>
      <c r="I38" s="33"/>
      <c r="J38" s="29"/>
      <c r="K38" s="33"/>
      <c r="L38" s="36"/>
      <c r="M38" s="29"/>
      <c r="N38" s="33"/>
      <c r="O38" s="33"/>
      <c r="P38" s="36"/>
      <c r="Q38" s="33"/>
      <c r="R38" s="33"/>
    </row>
    <row r="39" spans="1:18" ht="14.4">
      <c r="A39" s="33"/>
      <c r="B39" s="33"/>
      <c r="C39" s="33"/>
      <c r="D39" s="29"/>
      <c r="E39" s="29"/>
      <c r="F39" s="33"/>
      <c r="G39" s="33"/>
      <c r="H39" s="31"/>
      <c r="I39" s="33"/>
      <c r="J39" s="29"/>
      <c r="K39" s="33"/>
      <c r="L39" s="36"/>
      <c r="M39" s="29"/>
      <c r="N39" s="33"/>
      <c r="O39" s="33"/>
      <c r="P39" s="29"/>
      <c r="Q39" s="33"/>
      <c r="R39" s="33"/>
    </row>
    <row r="40" spans="1:18">
      <c r="A40" s="33"/>
      <c r="B40" s="33"/>
      <c r="C40" s="33"/>
      <c r="D40" s="29"/>
      <c r="E40" s="29"/>
      <c r="F40" s="33"/>
      <c r="G40" s="33"/>
      <c r="H40" s="29"/>
      <c r="I40" s="33"/>
      <c r="J40" s="29"/>
      <c r="K40" s="33"/>
      <c r="L40" s="36"/>
      <c r="M40" s="36"/>
      <c r="N40" s="33"/>
      <c r="O40" s="33"/>
      <c r="P40" s="29"/>
      <c r="Q40" s="33"/>
      <c r="R40" s="33"/>
    </row>
    <row r="41" spans="1:18" ht="14.4">
      <c r="A41" s="28"/>
      <c r="B41" s="33"/>
      <c r="C41" s="33"/>
      <c r="D41" s="29"/>
      <c r="E41" s="29"/>
      <c r="F41" s="33"/>
      <c r="G41" s="33"/>
      <c r="H41" s="31"/>
      <c r="I41" s="33"/>
      <c r="J41" s="29"/>
      <c r="K41" s="33"/>
      <c r="L41" s="36"/>
      <c r="M41" s="36"/>
      <c r="N41" s="33"/>
      <c r="O41" s="33"/>
      <c r="P41" s="36"/>
      <c r="Q41" s="33"/>
      <c r="R41" s="33"/>
    </row>
    <row r="42" spans="1:18">
      <c r="A42" s="33"/>
      <c r="B42" s="33"/>
      <c r="C42" s="33"/>
      <c r="D42" s="29"/>
      <c r="E42" s="29"/>
      <c r="F42" s="33"/>
      <c r="G42" s="33"/>
      <c r="H42" s="29"/>
      <c r="I42" s="33"/>
      <c r="J42" s="29"/>
      <c r="K42" s="33"/>
      <c r="L42" s="36"/>
      <c r="M42" s="29"/>
      <c r="N42" s="33"/>
      <c r="O42" s="33"/>
      <c r="P42" s="29"/>
      <c r="Q42" s="33"/>
      <c r="R42" s="33"/>
    </row>
    <row r="43" spans="1:18" ht="14.4">
      <c r="A43" s="33"/>
      <c r="B43" s="33"/>
      <c r="C43" s="33"/>
      <c r="D43" s="29"/>
      <c r="E43" s="29"/>
      <c r="F43" s="33"/>
      <c r="G43" s="33"/>
      <c r="H43" s="31"/>
      <c r="I43" s="33"/>
      <c r="J43" s="29"/>
      <c r="K43" s="33"/>
      <c r="L43" s="36"/>
      <c r="M43" s="29"/>
      <c r="N43" s="33"/>
      <c r="O43" s="33"/>
      <c r="P43" s="36"/>
      <c r="Q43" s="33"/>
      <c r="R43" s="33"/>
    </row>
    <row r="44" spans="1:18">
      <c r="A44" s="28"/>
      <c r="B44" s="33"/>
      <c r="C44" s="33"/>
      <c r="D44" s="29"/>
      <c r="E44" s="29"/>
      <c r="F44" s="33"/>
      <c r="G44" s="33"/>
      <c r="H44" s="29"/>
      <c r="I44" s="33"/>
      <c r="J44" s="29"/>
      <c r="K44" s="33"/>
      <c r="L44" s="36"/>
      <c r="M44" s="29"/>
      <c r="N44" s="33"/>
      <c r="O44" s="33"/>
      <c r="P44" s="29"/>
      <c r="Q44" s="33"/>
      <c r="R44" s="33"/>
    </row>
    <row r="45" spans="1:18" ht="14.4">
      <c r="A45" s="33"/>
      <c r="B45" s="33"/>
      <c r="C45" s="33"/>
      <c r="D45" s="29"/>
      <c r="E45" s="29"/>
      <c r="F45" s="33"/>
      <c r="G45" s="33"/>
      <c r="H45" s="31"/>
      <c r="I45" s="33"/>
      <c r="J45" s="29"/>
      <c r="K45" s="33"/>
      <c r="L45" s="36"/>
      <c r="M45" s="29"/>
      <c r="N45" s="33"/>
      <c r="O45" s="33"/>
      <c r="P45" s="29"/>
      <c r="Q45" s="33"/>
      <c r="R45" s="33"/>
    </row>
    <row r="46" spans="1:18" ht="14.4">
      <c r="A46" s="33">
        <v>45</v>
      </c>
      <c r="B46" s="33"/>
      <c r="C46" s="33"/>
      <c r="D46" s="29"/>
      <c r="E46" s="29"/>
      <c r="F46" s="33"/>
      <c r="G46" s="33"/>
      <c r="H46" s="31"/>
      <c r="I46" s="33"/>
      <c r="J46" s="29"/>
      <c r="K46" s="33"/>
      <c r="L46" s="36"/>
      <c r="M46" s="29"/>
      <c r="N46" s="33"/>
      <c r="O46" s="33"/>
      <c r="P46" s="29"/>
      <c r="Q46" s="28"/>
      <c r="R46" s="33"/>
    </row>
    <row r="47" spans="1:18" ht="14.4">
      <c r="A47" s="47">
        <v>46</v>
      </c>
      <c r="B47" s="47"/>
      <c r="C47" s="47"/>
      <c r="D47" s="48"/>
      <c r="E47" s="48"/>
      <c r="F47" s="47"/>
      <c r="G47" s="47"/>
      <c r="H47" s="49"/>
      <c r="I47" s="47"/>
      <c r="J47" s="48"/>
      <c r="K47" s="47"/>
      <c r="L47" s="50"/>
      <c r="M47" s="50"/>
      <c r="N47" s="47"/>
      <c r="O47" s="47"/>
      <c r="P47" s="50"/>
      <c r="Q47" s="47"/>
      <c r="R47" s="47"/>
    </row>
    <row r="48" spans="1:18" ht="14.4">
      <c r="A48" s="51">
        <v>47</v>
      </c>
      <c r="B48" s="51"/>
      <c r="C48" s="51"/>
      <c r="D48" s="52"/>
      <c r="E48" s="52"/>
      <c r="F48" s="51"/>
      <c r="G48" s="51"/>
      <c r="H48" s="53"/>
      <c r="I48" s="51"/>
      <c r="J48" s="52"/>
      <c r="K48" s="51"/>
      <c r="L48" s="54"/>
      <c r="M48" s="52"/>
      <c r="N48" s="51"/>
      <c r="O48" s="51"/>
      <c r="P48" s="52"/>
      <c r="Q48" s="51"/>
      <c r="R48" s="51"/>
    </row>
    <row r="49" spans="1:18" ht="14.4">
      <c r="A49" s="51">
        <v>48</v>
      </c>
      <c r="B49" s="51"/>
      <c r="C49" s="51"/>
      <c r="D49" s="52"/>
      <c r="E49" s="52"/>
      <c r="F49" s="51"/>
      <c r="G49" s="51"/>
      <c r="H49" s="53"/>
      <c r="I49" s="51"/>
      <c r="J49" s="52"/>
      <c r="K49" s="51"/>
      <c r="L49" s="54"/>
      <c r="M49" s="52"/>
      <c r="N49" s="51"/>
      <c r="O49" s="51"/>
      <c r="P49" s="55"/>
      <c r="Q49" s="51"/>
      <c r="R49" s="51"/>
    </row>
    <row r="50" spans="1:18">
      <c r="A50" s="51">
        <v>49</v>
      </c>
      <c r="B50" s="51"/>
      <c r="C50" s="51"/>
      <c r="D50" s="52"/>
      <c r="E50" s="52"/>
      <c r="F50" s="51"/>
      <c r="G50" s="51"/>
      <c r="H50" s="52"/>
      <c r="I50" s="51"/>
      <c r="J50" s="52"/>
      <c r="K50" s="51"/>
      <c r="L50" s="54"/>
      <c r="M50" s="52"/>
      <c r="N50" s="51"/>
      <c r="O50" s="51"/>
      <c r="P50" s="52"/>
      <c r="Q50" s="51"/>
      <c r="R50" s="51"/>
    </row>
    <row r="51" spans="1:18" ht="14.4">
      <c r="A51" s="51">
        <v>50</v>
      </c>
      <c r="B51" s="51"/>
      <c r="C51" s="51"/>
      <c r="D51" s="52"/>
      <c r="E51" s="52"/>
      <c r="F51" s="51"/>
      <c r="G51" s="51"/>
      <c r="H51" s="53"/>
      <c r="I51" s="51"/>
      <c r="J51" s="52"/>
      <c r="K51" s="51"/>
      <c r="L51" s="54"/>
      <c r="M51" s="52"/>
      <c r="N51" s="51"/>
      <c r="O51" s="51"/>
      <c r="P51" s="54"/>
      <c r="Q51" s="56"/>
      <c r="R51" s="51"/>
    </row>
    <row r="52" spans="1:18" ht="14.4">
      <c r="A52" s="51">
        <v>51</v>
      </c>
      <c r="B52" s="51"/>
      <c r="C52" s="51"/>
      <c r="D52" s="52"/>
      <c r="E52" s="52"/>
      <c r="F52" s="51"/>
      <c r="G52" s="51"/>
      <c r="H52" s="53"/>
      <c r="I52" s="51"/>
      <c r="J52" s="52"/>
      <c r="K52" s="51"/>
      <c r="L52" s="54"/>
      <c r="M52" s="52"/>
      <c r="N52" s="51"/>
      <c r="O52" s="51"/>
      <c r="P52" s="52"/>
      <c r="Q52" s="51"/>
      <c r="R52" s="51"/>
    </row>
    <row r="53" spans="1:18" ht="14.4">
      <c r="A53" s="51">
        <v>52</v>
      </c>
      <c r="B53" s="51"/>
      <c r="C53" s="51"/>
      <c r="D53" s="52"/>
      <c r="E53" s="52"/>
      <c r="F53" s="51"/>
      <c r="G53" s="51"/>
      <c r="H53" s="53"/>
      <c r="I53" s="51"/>
      <c r="J53" s="52"/>
      <c r="K53" s="51"/>
      <c r="L53" s="54"/>
      <c r="M53" s="52"/>
      <c r="N53" s="51"/>
      <c r="O53" s="51"/>
      <c r="P53" s="52"/>
      <c r="Q53" s="51"/>
      <c r="R53" s="51"/>
    </row>
    <row r="54" spans="1:18" ht="14.4">
      <c r="A54" s="51">
        <v>53</v>
      </c>
      <c r="B54" s="51"/>
      <c r="C54" s="51"/>
      <c r="D54" s="52"/>
      <c r="E54" s="52"/>
      <c r="F54" s="51"/>
      <c r="G54" s="51"/>
      <c r="H54" s="53"/>
      <c r="I54" s="51"/>
      <c r="J54" s="52"/>
      <c r="K54" s="51"/>
      <c r="L54" s="54"/>
      <c r="M54" s="52"/>
      <c r="N54" s="51"/>
      <c r="O54" s="51"/>
      <c r="P54" s="57"/>
      <c r="Q54" s="51"/>
      <c r="R54" s="51"/>
    </row>
    <row r="55" spans="1:18">
      <c r="A55" s="51">
        <v>54</v>
      </c>
      <c r="B55" s="51"/>
      <c r="C55" s="51"/>
      <c r="D55" s="52"/>
      <c r="E55" s="52"/>
      <c r="F55" s="51"/>
      <c r="G55" s="51"/>
      <c r="H55" s="52"/>
      <c r="I55" s="51"/>
      <c r="J55" s="52"/>
      <c r="K55" s="51"/>
      <c r="L55" s="54"/>
      <c r="M55" s="52"/>
      <c r="N55" s="51"/>
      <c r="O55" s="51"/>
      <c r="P55" s="52"/>
      <c r="Q55" s="51"/>
      <c r="R55" s="58"/>
    </row>
    <row r="56" spans="1:18" ht="15">
      <c r="A56" s="51">
        <v>55</v>
      </c>
      <c r="B56" s="51"/>
      <c r="C56" s="51"/>
      <c r="D56" s="52"/>
      <c r="E56" s="52"/>
      <c r="F56" s="51"/>
      <c r="G56" s="51"/>
      <c r="H56" s="53"/>
      <c r="I56" s="51"/>
      <c r="J56" s="52"/>
      <c r="K56" s="51"/>
      <c r="L56" s="54"/>
      <c r="M56" s="52"/>
      <c r="N56" s="51"/>
      <c r="O56" s="51"/>
      <c r="P56" s="52"/>
      <c r="Q56" s="59"/>
      <c r="R56" s="60"/>
    </row>
    <row r="57" spans="1:18" ht="14.4">
      <c r="A57" s="51">
        <v>56</v>
      </c>
      <c r="B57" s="51"/>
      <c r="C57" s="51"/>
      <c r="D57" s="52"/>
      <c r="E57" s="52"/>
      <c r="F57" s="51"/>
      <c r="G57" s="51"/>
      <c r="H57" s="53"/>
      <c r="I57" s="51"/>
      <c r="J57" s="52"/>
      <c r="K57" s="51"/>
      <c r="L57" s="54"/>
      <c r="M57" s="54"/>
      <c r="N57" s="51"/>
      <c r="O57" s="51"/>
      <c r="P57" s="54"/>
      <c r="Q57" s="51"/>
      <c r="R57" s="47"/>
    </row>
    <row r="58" spans="1:18" ht="14.4">
      <c r="A58" s="51">
        <v>57</v>
      </c>
      <c r="B58" s="51"/>
      <c r="C58" s="51"/>
      <c r="D58" s="52"/>
      <c r="E58" s="52"/>
      <c r="F58" s="51"/>
      <c r="G58" s="51"/>
      <c r="H58" s="53"/>
      <c r="I58" s="51"/>
      <c r="J58" s="52"/>
      <c r="K58" s="51"/>
      <c r="L58" s="54"/>
      <c r="M58" s="52"/>
      <c r="N58" s="51"/>
      <c r="O58" s="51"/>
      <c r="P58" s="54"/>
      <c r="Q58" s="51"/>
      <c r="R58" s="51"/>
    </row>
    <row r="59" spans="1:18" ht="14.4">
      <c r="A59" s="51">
        <v>58</v>
      </c>
      <c r="B59" s="51"/>
      <c r="C59" s="51"/>
      <c r="D59" s="52"/>
      <c r="E59" s="52"/>
      <c r="F59" s="51"/>
      <c r="G59" s="51"/>
      <c r="H59" s="53"/>
      <c r="I59" s="51"/>
      <c r="J59" s="52"/>
      <c r="K59" s="51"/>
      <c r="L59" s="54"/>
      <c r="M59" s="52"/>
      <c r="N59" s="51"/>
      <c r="O59" s="51"/>
      <c r="P59" s="52"/>
      <c r="Q59" s="51"/>
      <c r="R59" s="51"/>
    </row>
    <row r="60" spans="1:18" ht="14.4">
      <c r="A60" s="51">
        <v>59</v>
      </c>
      <c r="B60" s="51"/>
      <c r="C60" s="51"/>
      <c r="D60" s="52"/>
      <c r="E60" s="52"/>
      <c r="F60" s="51"/>
      <c r="G60" s="51"/>
      <c r="H60" s="53"/>
      <c r="I60" s="51"/>
      <c r="J60" s="52"/>
      <c r="K60" s="51"/>
      <c r="L60" s="54"/>
      <c r="M60" s="52"/>
      <c r="N60" s="51"/>
      <c r="O60" s="51"/>
      <c r="P60" s="52"/>
      <c r="Q60" s="51"/>
      <c r="R60" s="51"/>
    </row>
    <row r="61" spans="1:18" ht="14.4">
      <c r="A61" s="51">
        <v>60</v>
      </c>
      <c r="B61" s="51"/>
      <c r="C61" s="51"/>
      <c r="D61" s="52"/>
      <c r="E61" s="52"/>
      <c r="F61" s="51"/>
      <c r="G61" s="51"/>
      <c r="H61" s="53"/>
      <c r="I61" s="51"/>
      <c r="J61" s="52"/>
      <c r="K61" s="51"/>
      <c r="L61" s="54"/>
      <c r="M61" s="54"/>
      <c r="N61" s="51"/>
      <c r="O61" s="51"/>
      <c r="P61" s="54"/>
      <c r="Q61" s="51"/>
      <c r="R61" s="51"/>
    </row>
    <row r="62" spans="1:18" ht="14.4">
      <c r="A62" s="51">
        <v>61</v>
      </c>
      <c r="B62" s="51"/>
      <c r="C62" s="51"/>
      <c r="D62" s="52"/>
      <c r="E62" s="52"/>
      <c r="F62" s="51"/>
      <c r="G62" s="51"/>
      <c r="H62" s="53"/>
      <c r="I62" s="51"/>
      <c r="J62" s="52"/>
      <c r="K62" s="51"/>
      <c r="L62" s="54"/>
      <c r="M62" s="54"/>
      <c r="N62" s="51"/>
      <c r="O62" s="51"/>
      <c r="P62" s="54"/>
      <c r="Q62" s="51"/>
      <c r="R62" s="51"/>
    </row>
    <row r="63" spans="1:18" ht="14.4">
      <c r="A63" s="51">
        <v>62</v>
      </c>
      <c r="B63" s="51"/>
      <c r="C63" s="51"/>
      <c r="D63" s="52"/>
      <c r="E63" s="52"/>
      <c r="F63" s="51"/>
      <c r="G63" s="51"/>
      <c r="H63" s="53"/>
      <c r="I63" s="51"/>
      <c r="J63" s="52"/>
      <c r="K63" s="51"/>
      <c r="L63" s="54"/>
      <c r="M63" s="52"/>
      <c r="N63" s="51"/>
      <c r="O63" s="51"/>
      <c r="P63" s="52"/>
      <c r="Q63" s="51"/>
      <c r="R63" s="51"/>
    </row>
    <row r="64" spans="1:18" ht="14.4">
      <c r="A64" s="51"/>
      <c r="B64" s="51"/>
      <c r="C64" s="51"/>
      <c r="D64" s="52"/>
      <c r="E64" s="52"/>
      <c r="F64" s="51"/>
      <c r="G64" s="51"/>
      <c r="H64" s="53"/>
      <c r="I64" s="51"/>
      <c r="J64" s="52"/>
      <c r="K64" s="51"/>
      <c r="L64" s="54"/>
      <c r="M64" s="52"/>
      <c r="N64" s="51"/>
      <c r="O64" s="51"/>
      <c r="P64" s="52"/>
      <c r="Q64" s="51"/>
      <c r="R64" s="51"/>
    </row>
    <row r="65" spans="1:18" ht="14.4">
      <c r="A65" s="51">
        <v>64</v>
      </c>
      <c r="B65" s="51"/>
      <c r="C65" s="51"/>
      <c r="D65" s="52"/>
      <c r="E65" s="52"/>
      <c r="F65" s="51"/>
      <c r="G65" s="51"/>
      <c r="H65" s="53"/>
      <c r="I65" s="51"/>
      <c r="J65" s="52"/>
      <c r="K65" s="51"/>
      <c r="L65" s="54"/>
      <c r="M65" s="54"/>
      <c r="N65" s="51"/>
      <c r="O65" s="51"/>
      <c r="P65" s="54"/>
      <c r="Q65" s="51"/>
      <c r="R65" s="51"/>
    </row>
    <row r="66" spans="1:18" ht="14.4">
      <c r="A66" s="51">
        <v>65</v>
      </c>
      <c r="B66" s="51"/>
      <c r="C66" s="51"/>
      <c r="D66" s="52"/>
      <c r="E66" s="52"/>
      <c r="F66" s="51"/>
      <c r="G66" s="51"/>
      <c r="H66" s="53"/>
      <c r="I66" s="51"/>
      <c r="J66" s="52"/>
      <c r="K66" s="51"/>
      <c r="L66" s="54"/>
      <c r="M66" s="52"/>
      <c r="N66" s="51"/>
      <c r="O66" s="51"/>
      <c r="P66" s="52"/>
      <c r="Q66" s="51"/>
      <c r="R66" s="51"/>
    </row>
    <row r="67" spans="1:18" ht="14.4">
      <c r="A67" s="51">
        <v>66</v>
      </c>
      <c r="B67" s="51"/>
      <c r="C67" s="51"/>
      <c r="D67" s="52"/>
      <c r="E67" s="52"/>
      <c r="F67" s="51"/>
      <c r="G67" s="51"/>
      <c r="H67" s="53"/>
      <c r="I67" s="51"/>
      <c r="J67" s="52"/>
      <c r="K67" s="51"/>
      <c r="L67" s="54"/>
      <c r="M67" s="52"/>
      <c r="N67" s="51"/>
      <c r="O67" s="51"/>
      <c r="P67" s="52"/>
      <c r="Q67" s="51"/>
      <c r="R67" s="51"/>
    </row>
    <row r="68" spans="1:18" ht="14.4">
      <c r="A68" s="51">
        <v>67</v>
      </c>
      <c r="B68" s="51"/>
      <c r="C68" s="51"/>
      <c r="D68" s="52"/>
      <c r="E68" s="51"/>
      <c r="F68" s="51"/>
      <c r="G68" s="51"/>
      <c r="H68" s="53"/>
      <c r="I68" s="51"/>
      <c r="J68" s="52"/>
      <c r="K68" s="51"/>
      <c r="L68" s="54"/>
      <c r="M68" s="54"/>
      <c r="N68" s="51"/>
      <c r="O68" s="51"/>
      <c r="P68" s="54"/>
      <c r="Q68" s="51"/>
      <c r="R68" s="51"/>
    </row>
    <row r="69" spans="1:18" ht="14.4">
      <c r="A69" s="51">
        <v>68</v>
      </c>
      <c r="B69" s="51"/>
      <c r="C69" s="51"/>
      <c r="D69" s="52"/>
      <c r="E69" s="52"/>
      <c r="F69" s="51"/>
      <c r="G69" s="51"/>
      <c r="H69" s="53"/>
      <c r="I69" s="51"/>
      <c r="J69" s="52"/>
      <c r="K69" s="51"/>
      <c r="L69" s="54"/>
      <c r="M69" s="54"/>
      <c r="N69" s="51"/>
      <c r="O69" s="51"/>
      <c r="P69" s="54"/>
      <c r="Q69" s="51"/>
      <c r="R69" s="51"/>
    </row>
    <row r="70" spans="1:18" ht="14.4">
      <c r="A70" s="51">
        <v>69</v>
      </c>
      <c r="B70" s="51"/>
      <c r="C70" s="51"/>
      <c r="D70" s="61"/>
      <c r="E70" s="52"/>
      <c r="F70" s="51"/>
      <c r="G70" s="51"/>
      <c r="H70" s="53"/>
      <c r="I70" s="51"/>
      <c r="J70" s="52"/>
      <c r="K70" s="51"/>
      <c r="L70" s="54"/>
      <c r="M70" s="52"/>
      <c r="N70" s="51"/>
      <c r="O70" s="51"/>
      <c r="P70" s="57"/>
      <c r="Q70" s="51"/>
      <c r="R70" s="51"/>
    </row>
    <row r="71" spans="1:18" ht="14.4">
      <c r="A71" s="51">
        <v>70</v>
      </c>
      <c r="B71" s="51"/>
      <c r="C71" s="51"/>
      <c r="D71" s="52"/>
      <c r="E71" s="52"/>
      <c r="F71" s="51"/>
      <c r="G71" s="51"/>
      <c r="H71" s="53"/>
      <c r="I71" s="51"/>
      <c r="J71" s="52"/>
      <c r="K71" s="51"/>
      <c r="L71" s="54"/>
      <c r="M71" s="52"/>
      <c r="N71" s="51"/>
      <c r="O71" s="51"/>
      <c r="P71" s="52"/>
      <c r="Q71" s="51"/>
      <c r="R71" s="51"/>
    </row>
    <row r="72" spans="1:18" ht="14.4">
      <c r="A72" s="51">
        <v>71</v>
      </c>
      <c r="B72" s="51"/>
      <c r="C72" s="51"/>
      <c r="D72" s="61"/>
      <c r="E72" s="52"/>
      <c r="F72" s="51"/>
      <c r="G72" s="51"/>
      <c r="H72" s="53"/>
      <c r="I72" s="51"/>
      <c r="J72" s="52"/>
      <c r="K72" s="51"/>
      <c r="L72" s="54"/>
      <c r="M72" s="52"/>
      <c r="N72" s="51"/>
      <c r="O72" s="51"/>
      <c r="P72" s="57"/>
      <c r="Q72" s="51"/>
      <c r="R72" s="62"/>
    </row>
    <row r="73" spans="1:18" ht="14.4">
      <c r="A73" s="51">
        <v>72</v>
      </c>
      <c r="B73" s="51"/>
      <c r="C73" s="51"/>
      <c r="D73" s="52"/>
      <c r="E73" s="52"/>
      <c r="F73" s="51"/>
      <c r="G73" s="51"/>
      <c r="H73" s="53"/>
      <c r="I73" s="51"/>
      <c r="J73" s="52"/>
      <c r="K73" s="51"/>
      <c r="L73" s="54"/>
      <c r="M73" s="52"/>
      <c r="N73" s="51"/>
      <c r="O73" s="51"/>
      <c r="P73" s="52"/>
      <c r="Q73" s="51"/>
      <c r="R73" s="51"/>
    </row>
    <row r="74" spans="1:18" ht="14.4">
      <c r="A74" s="51">
        <v>73</v>
      </c>
      <c r="B74" s="51"/>
      <c r="C74" s="51"/>
      <c r="D74" s="52"/>
      <c r="E74" s="52"/>
      <c r="F74" s="51"/>
      <c r="G74" s="51"/>
      <c r="H74" s="53"/>
      <c r="I74" s="51"/>
      <c r="J74" s="52"/>
      <c r="K74" s="51"/>
      <c r="L74" s="54"/>
      <c r="M74" s="52"/>
      <c r="N74" s="51"/>
      <c r="O74" s="51"/>
      <c r="P74" s="52"/>
      <c r="Q74" s="51"/>
      <c r="R74" s="62"/>
    </row>
    <row r="75" spans="1:18" ht="14.4">
      <c r="A75" s="51">
        <v>74</v>
      </c>
      <c r="B75" s="51"/>
      <c r="C75" s="51"/>
      <c r="D75" s="52"/>
      <c r="E75" s="52"/>
      <c r="F75" s="51"/>
      <c r="G75" s="51"/>
      <c r="H75" s="53"/>
      <c r="I75" s="51"/>
      <c r="J75" s="52"/>
      <c r="K75" s="51"/>
      <c r="L75" s="54"/>
      <c r="M75" s="52"/>
      <c r="N75" s="51"/>
      <c r="O75" s="51"/>
      <c r="P75" s="57"/>
      <c r="Q75" s="56"/>
      <c r="R75" s="51"/>
    </row>
    <row r="76" spans="1:18">
      <c r="A76" s="51">
        <v>75</v>
      </c>
      <c r="B76" s="51"/>
      <c r="C76" s="51"/>
      <c r="D76" s="52"/>
      <c r="E76" s="52"/>
      <c r="F76" s="51"/>
      <c r="G76" s="51"/>
      <c r="H76" s="52"/>
      <c r="I76" s="51"/>
      <c r="J76" s="52"/>
      <c r="K76" s="51"/>
      <c r="L76" s="54"/>
      <c r="M76" s="52"/>
      <c r="N76" s="51"/>
      <c r="O76" s="51"/>
      <c r="P76" s="52"/>
      <c r="Q76" s="51"/>
      <c r="R76" s="51"/>
    </row>
    <row r="77" spans="1:18" ht="14.4">
      <c r="A77" s="51">
        <v>76</v>
      </c>
      <c r="B77" s="51"/>
      <c r="C77" s="51"/>
      <c r="D77" s="52"/>
      <c r="E77" s="52"/>
      <c r="F77" s="51"/>
      <c r="G77" s="51"/>
      <c r="H77" s="53"/>
      <c r="I77" s="51"/>
      <c r="J77" s="52"/>
      <c r="K77" s="51"/>
      <c r="L77" s="54"/>
      <c r="M77" s="54"/>
      <c r="N77" s="51"/>
      <c r="O77" s="51"/>
      <c r="P77" s="54"/>
      <c r="Q77" s="51"/>
      <c r="R77" s="51"/>
    </row>
    <row r="78" spans="1:18" ht="14.4">
      <c r="A78" s="51">
        <v>77</v>
      </c>
      <c r="B78" s="51"/>
      <c r="C78" s="51"/>
      <c r="D78" s="52"/>
      <c r="E78" s="52"/>
      <c r="F78" s="51"/>
      <c r="G78" s="51"/>
      <c r="H78" s="53"/>
      <c r="I78" s="51"/>
      <c r="J78" s="52"/>
      <c r="K78" s="51"/>
      <c r="L78" s="54"/>
      <c r="M78" s="54"/>
      <c r="N78" s="51"/>
      <c r="O78" s="51"/>
      <c r="P78" s="54"/>
      <c r="Q78" s="51"/>
      <c r="R78" s="51"/>
    </row>
    <row r="79" spans="1:18" ht="14.4">
      <c r="A79" s="51">
        <v>78</v>
      </c>
      <c r="B79" s="51"/>
      <c r="C79" s="51"/>
      <c r="D79" s="52"/>
      <c r="E79" s="52"/>
      <c r="F79" s="51"/>
      <c r="G79" s="51"/>
      <c r="H79" s="53"/>
      <c r="I79" s="51"/>
      <c r="J79" s="52"/>
      <c r="K79" s="51"/>
      <c r="L79" s="54"/>
      <c r="M79" s="54"/>
      <c r="N79" s="51"/>
      <c r="O79" s="51"/>
      <c r="P79" s="54"/>
      <c r="Q79" s="51"/>
      <c r="R79" s="51"/>
    </row>
    <row r="80" spans="1:18" ht="14.4">
      <c r="A80" s="51">
        <v>79</v>
      </c>
      <c r="B80" s="51"/>
      <c r="C80" s="51"/>
      <c r="D80" s="52"/>
      <c r="E80" s="52"/>
      <c r="F80" s="51"/>
      <c r="G80" s="51"/>
      <c r="H80" s="53"/>
      <c r="I80" s="51"/>
      <c r="J80" s="52"/>
      <c r="K80" s="51"/>
      <c r="L80" s="54"/>
      <c r="M80" s="52"/>
      <c r="N80" s="51"/>
      <c r="O80" s="51"/>
      <c r="P80" s="52"/>
      <c r="Q80" s="51"/>
      <c r="R80" s="51"/>
    </row>
    <row r="81" spans="1:18" ht="14.4">
      <c r="A81" s="51">
        <v>80</v>
      </c>
      <c r="B81" s="51"/>
      <c r="C81" s="51"/>
      <c r="D81" s="52"/>
      <c r="E81" s="52"/>
      <c r="F81" s="51"/>
      <c r="G81" s="51"/>
      <c r="H81" s="53"/>
      <c r="I81" s="51"/>
      <c r="J81" s="52"/>
      <c r="K81" s="51"/>
      <c r="L81" s="54"/>
      <c r="M81" s="52"/>
      <c r="N81" s="51"/>
      <c r="O81" s="51"/>
      <c r="P81" s="57"/>
      <c r="Q81" s="56"/>
      <c r="R81" s="51"/>
    </row>
    <row r="82" spans="1:18" ht="14.4">
      <c r="A82" s="51">
        <v>81</v>
      </c>
      <c r="B82" s="51"/>
      <c r="C82" s="51"/>
      <c r="D82" s="52"/>
      <c r="E82" s="52"/>
      <c r="F82" s="51"/>
      <c r="G82" s="51"/>
      <c r="H82" s="53"/>
      <c r="I82" s="51"/>
      <c r="J82" s="52"/>
      <c r="K82" s="51"/>
      <c r="L82" s="54"/>
      <c r="M82" s="52"/>
      <c r="N82" s="51"/>
      <c r="O82" s="51"/>
      <c r="P82" s="52"/>
      <c r="Q82" s="51"/>
      <c r="R82" s="51"/>
    </row>
    <row r="83" spans="1:18" ht="14.4">
      <c r="A83" s="51">
        <v>82</v>
      </c>
      <c r="B83" s="51"/>
      <c r="C83" s="51"/>
      <c r="D83" s="52"/>
      <c r="E83" s="52"/>
      <c r="F83" s="51"/>
      <c r="G83" s="51"/>
      <c r="H83" s="53"/>
      <c r="I83" s="51"/>
      <c r="J83" s="52"/>
      <c r="K83" s="51"/>
      <c r="L83" s="54"/>
      <c r="M83" s="52"/>
      <c r="N83" s="51"/>
      <c r="O83" s="51"/>
      <c r="P83" s="52"/>
      <c r="Q83" s="51"/>
      <c r="R83" s="51"/>
    </row>
    <row r="84" spans="1:18" ht="14.4">
      <c r="A84" s="51">
        <v>83</v>
      </c>
      <c r="B84" s="51"/>
      <c r="C84" s="51"/>
      <c r="D84" s="52"/>
      <c r="E84" s="52"/>
      <c r="F84" s="51"/>
      <c r="G84" s="51"/>
      <c r="H84" s="53"/>
      <c r="I84" s="51"/>
      <c r="J84" s="52"/>
      <c r="K84" s="51"/>
      <c r="L84" s="54"/>
      <c r="M84" s="52"/>
      <c r="N84" s="51"/>
      <c r="O84" s="51"/>
      <c r="P84" s="52"/>
      <c r="Q84" s="51"/>
      <c r="R84" s="51"/>
    </row>
    <row r="85" spans="1:18" ht="14.4">
      <c r="A85" s="51">
        <v>84</v>
      </c>
      <c r="B85" s="51"/>
      <c r="C85" s="51"/>
      <c r="D85" s="52"/>
      <c r="E85" s="52"/>
      <c r="F85" s="51"/>
      <c r="G85" s="51"/>
      <c r="H85" s="53"/>
      <c r="I85" s="51"/>
      <c r="J85" s="52"/>
      <c r="K85" s="51"/>
      <c r="L85" s="54"/>
      <c r="M85" s="52"/>
      <c r="N85" s="51"/>
      <c r="O85" s="51"/>
      <c r="P85" s="57"/>
      <c r="Q85" s="51"/>
      <c r="R85" s="51"/>
    </row>
    <row r="86" spans="1:18" ht="14.4">
      <c r="A86" s="51">
        <v>85</v>
      </c>
      <c r="B86" s="51"/>
      <c r="C86" s="51"/>
      <c r="D86" s="52"/>
      <c r="E86" s="52"/>
      <c r="F86" s="51"/>
      <c r="G86" s="51"/>
      <c r="H86" s="53"/>
      <c r="I86" s="51"/>
      <c r="J86" s="52"/>
      <c r="K86" s="51"/>
      <c r="L86" s="54"/>
      <c r="M86" s="52"/>
      <c r="N86" s="51"/>
      <c r="O86" s="51"/>
      <c r="P86" s="55"/>
      <c r="Q86" s="51"/>
      <c r="R86" s="51"/>
    </row>
    <row r="87" spans="1:18" ht="14.4">
      <c r="A87" s="51">
        <v>86</v>
      </c>
      <c r="B87" s="51"/>
      <c r="C87" s="51"/>
      <c r="D87" s="52"/>
      <c r="E87" s="52"/>
      <c r="F87" s="51"/>
      <c r="G87" s="51"/>
      <c r="H87" s="53"/>
      <c r="I87" s="51"/>
      <c r="J87" s="52"/>
      <c r="K87" s="51"/>
      <c r="L87" s="54"/>
      <c r="M87" s="52"/>
      <c r="N87" s="51"/>
      <c r="O87" s="51"/>
      <c r="P87" s="57"/>
      <c r="Q87" s="51"/>
      <c r="R87" s="51"/>
    </row>
    <row r="88" spans="1:18" ht="14.4">
      <c r="A88" s="51">
        <v>87</v>
      </c>
      <c r="B88" s="51"/>
      <c r="C88" s="51"/>
      <c r="D88" s="52"/>
      <c r="E88" s="52"/>
      <c r="F88" s="51"/>
      <c r="G88" s="51"/>
      <c r="H88" s="53"/>
      <c r="I88" s="51"/>
      <c r="J88" s="52"/>
      <c r="K88" s="51"/>
      <c r="L88" s="54"/>
      <c r="M88" s="52"/>
      <c r="N88" s="51"/>
      <c r="O88" s="51"/>
      <c r="P88" s="52"/>
      <c r="Q88" s="51"/>
      <c r="R88" s="51"/>
    </row>
    <row r="89" spans="1:18" ht="14.4">
      <c r="A89" s="51">
        <v>88</v>
      </c>
      <c r="B89" s="51"/>
      <c r="C89" s="51"/>
      <c r="D89" s="52"/>
      <c r="E89" s="52"/>
      <c r="F89" s="51"/>
      <c r="G89" s="51"/>
      <c r="H89" s="53"/>
      <c r="I89" s="51"/>
      <c r="J89" s="52"/>
      <c r="K89" s="51"/>
      <c r="L89" s="54"/>
      <c r="M89" s="52"/>
      <c r="N89" s="51"/>
      <c r="O89" s="51"/>
      <c r="P89" s="57"/>
      <c r="Q89" s="56"/>
      <c r="R89" s="51"/>
    </row>
    <row r="90" spans="1:18" ht="14.4">
      <c r="A90" s="51">
        <v>89</v>
      </c>
      <c r="B90" s="51"/>
      <c r="C90" s="51"/>
      <c r="D90" s="52"/>
      <c r="E90" s="52"/>
      <c r="F90" s="51"/>
      <c r="G90" s="51"/>
      <c r="H90" s="53"/>
      <c r="I90" s="51"/>
      <c r="J90" s="52"/>
      <c r="K90" s="51"/>
      <c r="L90" s="54"/>
      <c r="M90" s="52"/>
      <c r="N90" s="51"/>
      <c r="O90" s="51"/>
      <c r="P90" s="52"/>
      <c r="Q90" s="51"/>
      <c r="R90" s="51"/>
    </row>
    <row r="91" spans="1:18" ht="14.4">
      <c r="A91" s="51">
        <v>90</v>
      </c>
      <c r="B91" s="51"/>
      <c r="C91" s="51"/>
      <c r="D91" s="52"/>
      <c r="E91" s="52"/>
      <c r="F91" s="51"/>
      <c r="G91" s="51"/>
      <c r="H91" s="53"/>
      <c r="I91" s="51"/>
      <c r="J91" s="52"/>
      <c r="K91" s="51"/>
      <c r="L91" s="54"/>
      <c r="M91" s="52"/>
      <c r="N91" s="51"/>
      <c r="O91" s="51"/>
      <c r="P91" s="52"/>
      <c r="Q91" s="51"/>
      <c r="R91" s="51"/>
    </row>
    <row r="92" spans="1:18" ht="14.4">
      <c r="A92" s="51">
        <v>91</v>
      </c>
      <c r="B92" s="51"/>
      <c r="C92" s="51"/>
      <c r="D92" s="52"/>
      <c r="E92" s="52"/>
      <c r="F92" s="51"/>
      <c r="G92" s="51"/>
      <c r="H92" s="53"/>
      <c r="I92" s="51"/>
      <c r="J92" s="52"/>
      <c r="K92" s="51"/>
      <c r="L92" s="54"/>
      <c r="M92" s="52"/>
      <c r="N92" s="51"/>
      <c r="O92" s="51"/>
      <c r="P92" s="52"/>
      <c r="Q92" s="51"/>
      <c r="R92" s="51"/>
    </row>
    <row r="93" spans="1:18" ht="14.4">
      <c r="A93" s="51">
        <v>92</v>
      </c>
      <c r="B93" s="51"/>
      <c r="C93" s="51"/>
      <c r="D93" s="52"/>
      <c r="E93" s="52"/>
      <c r="F93" s="51"/>
      <c r="G93" s="51"/>
      <c r="H93" s="53"/>
      <c r="I93" s="51"/>
      <c r="J93" s="52"/>
      <c r="K93" s="51"/>
      <c r="L93" s="54"/>
      <c r="M93" s="54"/>
      <c r="N93" s="51"/>
      <c r="O93" s="51"/>
      <c r="P93" s="52"/>
      <c r="Q93" s="51"/>
      <c r="R93" s="51"/>
    </row>
    <row r="94" spans="1:18" ht="14.4">
      <c r="A94" s="51">
        <v>93</v>
      </c>
      <c r="B94" s="51"/>
      <c r="C94" s="51"/>
      <c r="D94" s="52"/>
      <c r="E94" s="52"/>
      <c r="F94" s="51"/>
      <c r="G94" s="51"/>
      <c r="H94" s="53"/>
      <c r="I94" s="51"/>
      <c r="J94" s="52"/>
      <c r="K94" s="51"/>
      <c r="L94" s="54"/>
      <c r="M94" s="54"/>
      <c r="N94" s="51"/>
      <c r="O94" s="51"/>
      <c r="P94" s="52"/>
      <c r="Q94" s="51"/>
      <c r="R94" s="51"/>
    </row>
    <row r="95" spans="1:18" ht="14.4">
      <c r="A95" s="51">
        <v>94</v>
      </c>
      <c r="B95" s="51"/>
      <c r="C95" s="51"/>
      <c r="D95" s="52"/>
      <c r="E95" s="52"/>
      <c r="F95" s="51"/>
      <c r="G95" s="51"/>
      <c r="H95" s="53"/>
      <c r="I95" s="51"/>
      <c r="J95" s="52"/>
      <c r="K95" s="51"/>
      <c r="L95" s="54"/>
      <c r="M95" s="54"/>
      <c r="N95" s="51"/>
      <c r="O95" s="51"/>
      <c r="P95" s="54"/>
      <c r="Q95" s="51"/>
      <c r="R95" s="51"/>
    </row>
    <row r="96" spans="1:18" ht="14.4">
      <c r="A96" s="51">
        <v>95</v>
      </c>
      <c r="B96" s="51"/>
      <c r="C96" s="51"/>
      <c r="D96" s="52"/>
      <c r="E96" s="52"/>
      <c r="F96" s="51"/>
      <c r="G96" s="51"/>
      <c r="H96" s="53"/>
      <c r="I96" s="51"/>
      <c r="J96" s="52"/>
      <c r="K96" s="51"/>
      <c r="L96" s="54"/>
      <c r="M96" s="54"/>
      <c r="N96" s="51"/>
      <c r="O96" s="51"/>
      <c r="P96" s="54"/>
      <c r="Q96" s="51"/>
      <c r="R96" s="51"/>
    </row>
    <row r="97" spans="1:18" ht="14.4">
      <c r="A97" s="51"/>
      <c r="B97" s="51"/>
      <c r="C97" s="51"/>
      <c r="D97" s="52"/>
      <c r="E97" s="52"/>
      <c r="F97" s="51"/>
      <c r="G97" s="51"/>
      <c r="H97" s="53"/>
      <c r="I97" s="51"/>
      <c r="J97" s="52"/>
      <c r="K97" s="51"/>
      <c r="L97" s="54"/>
      <c r="M97" s="52"/>
      <c r="N97" s="51"/>
      <c r="O97" s="51"/>
      <c r="P97" s="52"/>
      <c r="Q97" s="51"/>
      <c r="R97" s="51"/>
    </row>
    <row r="98" spans="1:18" ht="14.4">
      <c r="A98" s="51">
        <v>96</v>
      </c>
      <c r="B98" s="51"/>
      <c r="C98" s="51"/>
      <c r="D98" s="52"/>
      <c r="E98" s="52"/>
      <c r="F98" s="51"/>
      <c r="G98" s="51"/>
      <c r="H98" s="53"/>
      <c r="I98" s="51"/>
      <c r="J98" s="52"/>
      <c r="K98" s="51"/>
      <c r="L98" s="54"/>
      <c r="M98" s="52"/>
      <c r="N98" s="51"/>
      <c r="O98" s="51"/>
      <c r="P98" s="52"/>
      <c r="Q98" s="51"/>
      <c r="R98" s="51"/>
    </row>
    <row r="99" spans="1:18" ht="14.4">
      <c r="A99" s="51">
        <v>97</v>
      </c>
      <c r="B99" s="51"/>
      <c r="C99" s="51"/>
      <c r="D99" s="52"/>
      <c r="E99" s="52"/>
      <c r="F99" s="51"/>
      <c r="G99" s="51"/>
      <c r="H99" s="53"/>
      <c r="I99" s="51"/>
      <c r="J99" s="52"/>
      <c r="K99" s="51"/>
      <c r="L99" s="54"/>
      <c r="M99" s="54"/>
      <c r="N99" s="51"/>
      <c r="O99" s="51"/>
      <c r="P99" s="54"/>
      <c r="Q99" s="51"/>
      <c r="R99" s="51"/>
    </row>
    <row r="100" spans="1:18" ht="14.4">
      <c r="A100" s="51">
        <v>98</v>
      </c>
      <c r="B100" s="51"/>
      <c r="C100" s="51"/>
      <c r="D100" s="52"/>
      <c r="E100" s="52"/>
      <c r="F100" s="51"/>
      <c r="G100" s="51"/>
      <c r="H100" s="53"/>
      <c r="I100" s="51"/>
      <c r="J100" s="52"/>
      <c r="K100" s="51"/>
      <c r="L100" s="54"/>
      <c r="M100" s="54"/>
      <c r="N100" s="51"/>
      <c r="O100" s="51"/>
      <c r="P100" s="54"/>
      <c r="Q100" s="51"/>
      <c r="R100" s="51"/>
    </row>
    <row r="101" spans="1:18" ht="14.4">
      <c r="A101" s="51">
        <v>99</v>
      </c>
      <c r="B101" s="51"/>
      <c r="C101" s="51"/>
      <c r="D101" s="52"/>
      <c r="E101" s="52"/>
      <c r="F101" s="51"/>
      <c r="G101" s="51"/>
      <c r="H101" s="53"/>
      <c r="I101" s="51"/>
      <c r="J101" s="52"/>
      <c r="K101" s="51"/>
      <c r="L101" s="54"/>
      <c r="M101" s="52"/>
      <c r="N101" s="51"/>
      <c r="O101" s="51"/>
      <c r="P101" s="52"/>
      <c r="Q101" s="51"/>
      <c r="R101" s="51"/>
    </row>
    <row r="102" spans="1:18" ht="14.4">
      <c r="A102" s="51">
        <v>100</v>
      </c>
      <c r="B102" s="51"/>
      <c r="C102" s="51"/>
      <c r="D102" s="52"/>
      <c r="E102" s="52"/>
      <c r="F102" s="51"/>
      <c r="G102" s="51"/>
      <c r="H102" s="53"/>
      <c r="I102" s="51"/>
      <c r="J102" s="52"/>
      <c r="K102" s="51"/>
      <c r="L102" s="54"/>
      <c r="M102" s="52"/>
      <c r="N102" s="51"/>
      <c r="O102" s="51"/>
      <c r="P102" s="52"/>
      <c r="Q102" s="51"/>
      <c r="R102" s="51"/>
    </row>
  </sheetData>
  <dataValidations count="8">
    <dataValidation type="list" allowBlank="1" showInputMessage="1" showErrorMessage="1" sqref="Q15 Q17 Q19 Q65 Q68 Q61:Q62 Q77:Q79" xr:uid="{00000000-0002-0000-0500-000000000000}">
      <formula1>"OK"</formula1>
    </dataValidation>
    <dataValidation type="list" allowBlank="1" showInputMessage="1" showErrorMessage="1" sqref="Q16 Q18 Q76 Q80 Q20:Q21 Q23:Q24 Q26:Q27 Q29:Q45 Q47:Q50 Q52:Q56 Q58:Q60 Q63:Q64 Q66:Q67 Q69:Q74 Q82:Q88 Q90:Q102" xr:uid="{00000000-0002-0000-0500-000001000000}">
      <formula1>"sdefect"</formula1>
    </dataValidation>
    <dataValidation type="list" allowBlank="1" showInputMessage="1" showErrorMessage="1" sqref="Q22 Q25 Q28 Q46 Q51 Q75 Q81 Q89 N2:N102 Q2:Q14" xr:uid="{00000000-0002-0000-0500-000002000000}">
      <formula1>SDefect</formula1>
    </dataValidation>
    <dataValidation type="list" allowBlank="1" showInputMessage="1" showErrorMessage="1" promptTitle="OK" sqref="Q57" xr:uid="{00000000-0002-0000-0500-000003000000}">
      <formula1>"OK"</formula1>
    </dataValidation>
    <dataValidation type="list" allowBlank="1" showInputMessage="1" showErrorMessage="1" sqref="F2:F102" xr:uid="{00000000-0002-0000-0500-000004000000}">
      <formula1>"Functional,Non Functional"</formula1>
    </dataValidation>
    <dataValidation type="list" allowBlank="1" showInputMessage="1" showErrorMessage="1" sqref="G2:G102" xr:uid="{00000000-0002-0000-0500-000005000000}">
      <formula1>Severity</formula1>
    </dataValidation>
    <dataValidation type="list" allowBlank="1" showInputMessage="1" showErrorMessage="1" sqref="I2:I14 I16:I102" xr:uid="{00000000-0002-0000-0500-000006000000}">
      <formula1>PICUAT</formula1>
    </dataValidation>
    <dataValidation type="list" allowBlank="1" showInputMessage="1" showErrorMessage="1" sqref="O2:O3 O5:O102" xr:uid="{00000000-0002-0000-0500-000007000000}">
      <formula1>"Y,N"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8" tint="0.59999389629810485"/>
  </sheetPr>
  <dimension ref="A1:A16"/>
  <sheetViews>
    <sheetView workbookViewId="0">
      <selection activeCell="A8" sqref="A8"/>
    </sheetView>
  </sheetViews>
  <sheetFormatPr defaultColWidth="9" defaultRowHeight="14.4"/>
  <cols>
    <col min="1" max="1" width="127.21875" customWidth="1"/>
  </cols>
  <sheetData>
    <row r="1" spans="1:1">
      <c r="A1" s="2" t="s">
        <v>723</v>
      </c>
    </row>
    <row r="2" spans="1:1">
      <c r="A2" s="1" t="s">
        <v>724</v>
      </c>
    </row>
    <row r="3" spans="1:1">
      <c r="A3" s="1" t="s">
        <v>725</v>
      </c>
    </row>
    <row r="4" spans="1:1">
      <c r="A4" s="1" t="s">
        <v>726</v>
      </c>
    </row>
    <row r="5" spans="1:1">
      <c r="A5" s="1" t="s">
        <v>727</v>
      </c>
    </row>
    <row r="6" spans="1:1">
      <c r="A6" s="1" t="s">
        <v>728</v>
      </c>
    </row>
    <row r="7" spans="1:1">
      <c r="A7" s="1" t="s">
        <v>729</v>
      </c>
    </row>
    <row r="8" spans="1:1">
      <c r="A8" s="1" t="s">
        <v>730</v>
      </c>
    </row>
    <row r="9" spans="1:1">
      <c r="A9" s="1" t="s">
        <v>731</v>
      </c>
    </row>
    <row r="10" spans="1:1">
      <c r="A10" s="1" t="s">
        <v>732</v>
      </c>
    </row>
    <row r="11" spans="1:1">
      <c r="A11" s="1" t="s">
        <v>733</v>
      </c>
    </row>
    <row r="12" spans="1:1">
      <c r="A12" s="1" t="s">
        <v>734</v>
      </c>
    </row>
    <row r="13" spans="1:1">
      <c r="A13" s="1" t="s">
        <v>735</v>
      </c>
    </row>
    <row r="14" spans="1:1">
      <c r="A14" s="1" t="s">
        <v>736</v>
      </c>
    </row>
    <row r="15" spans="1:1">
      <c r="A15" s="1" t="s">
        <v>737</v>
      </c>
    </row>
    <row r="16" spans="1:1">
      <c r="A16" s="1" t="s">
        <v>738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theme="8" tint="0.59999389629810485"/>
  </sheetPr>
  <dimension ref="A1:I10"/>
  <sheetViews>
    <sheetView workbookViewId="0">
      <selection activeCell="J18" sqref="J18"/>
    </sheetView>
  </sheetViews>
  <sheetFormatPr defaultColWidth="9" defaultRowHeight="14.4"/>
  <cols>
    <col min="1" max="1" width="19.33203125" customWidth="1"/>
    <col min="2" max="2" width="10.33203125" customWidth="1"/>
    <col min="3" max="3" width="9.109375" customWidth="1"/>
    <col min="4" max="4" width="9.33203125" customWidth="1"/>
    <col min="5" max="5" width="14.109375" customWidth="1"/>
    <col min="6" max="6" width="13.21875" customWidth="1"/>
    <col min="7" max="7" width="11.33203125" customWidth="1"/>
    <col min="8" max="8" width="13.77734375" customWidth="1"/>
    <col min="9" max="9" width="12.77734375" customWidth="1"/>
  </cols>
  <sheetData>
    <row r="1" spans="1:9">
      <c r="A1" s="2" t="s">
        <v>739</v>
      </c>
      <c r="B1" s="2" t="s">
        <v>740</v>
      </c>
      <c r="C1" s="2" t="s">
        <v>741</v>
      </c>
      <c r="D1" s="2" t="s">
        <v>742</v>
      </c>
      <c r="E1" s="2" t="s">
        <v>743</v>
      </c>
      <c r="F1" s="2" t="s">
        <v>744</v>
      </c>
      <c r="G1" s="2" t="s">
        <v>745</v>
      </c>
      <c r="H1" s="2" t="s">
        <v>746</v>
      </c>
      <c r="I1" s="2" t="s">
        <v>747</v>
      </c>
    </row>
    <row r="2" spans="1:9">
      <c r="A2" s="1" t="s">
        <v>748</v>
      </c>
      <c r="B2" s="1" t="s">
        <v>749</v>
      </c>
      <c r="C2" s="1" t="s">
        <v>750</v>
      </c>
      <c r="D2" s="1" t="s">
        <v>751</v>
      </c>
      <c r="E2" s="1" t="s">
        <v>752</v>
      </c>
      <c r="F2" s="1" t="s">
        <v>753</v>
      </c>
      <c r="G2" s="1" t="s">
        <v>754</v>
      </c>
      <c r="H2" s="1" t="s">
        <v>755</v>
      </c>
      <c r="I2" s="1" t="s">
        <v>756</v>
      </c>
    </row>
    <row r="3" spans="1:9">
      <c r="A3" s="1" t="s">
        <v>757</v>
      </c>
      <c r="B3" s="1" t="s">
        <v>758</v>
      </c>
      <c r="C3" s="1" t="s">
        <v>759</v>
      </c>
      <c r="D3" s="1" t="s">
        <v>760</v>
      </c>
      <c r="E3" s="1" t="s">
        <v>761</v>
      </c>
      <c r="F3" s="1" t="s">
        <v>762</v>
      </c>
      <c r="G3" s="1" t="s">
        <v>763</v>
      </c>
      <c r="H3" s="1" t="s">
        <v>764</v>
      </c>
      <c r="I3" s="1" t="s">
        <v>765</v>
      </c>
    </row>
    <row r="4" spans="1:9">
      <c r="A4" s="1" t="s">
        <v>766</v>
      </c>
      <c r="B4" s="1" t="s">
        <v>767</v>
      </c>
      <c r="C4" s="1" t="s">
        <v>768</v>
      </c>
      <c r="D4" s="1" t="s">
        <v>769</v>
      </c>
      <c r="E4" s="1" t="s">
        <v>770</v>
      </c>
      <c r="F4" s="1" t="s">
        <v>771</v>
      </c>
      <c r="G4" s="1" t="s">
        <v>772</v>
      </c>
      <c r="H4" s="1" t="s">
        <v>773</v>
      </c>
      <c r="I4" s="1" t="s">
        <v>774</v>
      </c>
    </row>
    <row r="5" spans="1:9">
      <c r="A5" s="1" t="s">
        <v>775</v>
      </c>
      <c r="B5" s="1" t="s">
        <v>776</v>
      </c>
      <c r="C5" s="1" t="s">
        <v>777</v>
      </c>
      <c r="D5" s="1" t="s">
        <v>778</v>
      </c>
      <c r="E5" s="1" t="s">
        <v>779</v>
      </c>
      <c r="F5" s="1" t="s">
        <v>780</v>
      </c>
      <c r="G5" s="1" t="s">
        <v>781</v>
      </c>
      <c r="H5" s="1"/>
      <c r="I5" s="1" t="s">
        <v>782</v>
      </c>
    </row>
    <row r="6" spans="1:9">
      <c r="A6" s="1" t="s">
        <v>160</v>
      </c>
      <c r="B6" s="1" t="s">
        <v>762</v>
      </c>
      <c r="C6" s="1" t="s">
        <v>783</v>
      </c>
      <c r="D6" s="1" t="s">
        <v>784</v>
      </c>
      <c r="E6" s="1"/>
      <c r="F6" s="1" t="s">
        <v>785</v>
      </c>
      <c r="G6" s="1" t="s">
        <v>786</v>
      </c>
      <c r="H6" s="1"/>
      <c r="I6" s="1" t="s">
        <v>787</v>
      </c>
    </row>
    <row r="7" spans="1:9">
      <c r="A7" s="1"/>
      <c r="B7" s="1" t="s">
        <v>771</v>
      </c>
      <c r="C7" s="1" t="s">
        <v>788</v>
      </c>
      <c r="D7" s="1" t="s">
        <v>789</v>
      </c>
      <c r="E7" s="1"/>
      <c r="F7" s="1"/>
      <c r="G7" s="1" t="s">
        <v>790</v>
      </c>
      <c r="H7" s="1"/>
      <c r="I7" s="1" t="s">
        <v>791</v>
      </c>
    </row>
    <row r="8" spans="1:9">
      <c r="A8" s="1"/>
      <c r="B8" s="1" t="s">
        <v>780</v>
      </c>
      <c r="C8" s="1" t="s">
        <v>792</v>
      </c>
      <c r="D8" s="1" t="s">
        <v>793</v>
      </c>
      <c r="E8" s="1"/>
      <c r="F8" s="1"/>
      <c r="G8" s="1" t="s">
        <v>794</v>
      </c>
      <c r="H8" s="1"/>
      <c r="I8" s="1" t="s">
        <v>795</v>
      </c>
    </row>
    <row r="9" spans="1:9">
      <c r="A9" s="1"/>
      <c r="B9" s="1"/>
      <c r="C9" s="1"/>
      <c r="D9" s="1"/>
      <c r="E9" s="1"/>
      <c r="F9" s="1"/>
      <c r="G9" s="1" t="s">
        <v>796</v>
      </c>
      <c r="H9" s="1"/>
      <c r="I9" s="1" t="s">
        <v>797</v>
      </c>
    </row>
    <row r="10" spans="1:9">
      <c r="A10" s="1"/>
      <c r="B10" s="1"/>
      <c r="C10" s="1"/>
      <c r="D10" s="1"/>
      <c r="E10" s="1"/>
      <c r="F10" s="1"/>
      <c r="G10" s="1"/>
      <c r="H10" s="1"/>
      <c r="I10" s="1" t="s">
        <v>798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theme="8" tint="0.59999389629810485"/>
  </sheetPr>
  <dimension ref="A1:Y136"/>
  <sheetViews>
    <sheetView topLeftCell="I1" zoomScale="85" zoomScaleNormal="85" workbookViewId="0">
      <selection activeCell="R2" sqref="R2"/>
    </sheetView>
  </sheetViews>
  <sheetFormatPr defaultColWidth="8.88671875" defaultRowHeight="14.4"/>
  <cols>
    <col min="1" max="1" width="7.109375" style="12" customWidth="1"/>
    <col min="2" max="2" width="22.88671875" style="12" customWidth="1"/>
    <col min="3" max="3" width="17.88671875" style="12" customWidth="1"/>
    <col min="4" max="4" width="9.21875" style="12" customWidth="1"/>
    <col min="5" max="5" width="7.109375" style="12" customWidth="1"/>
    <col min="6" max="7" width="12" style="12" customWidth="1"/>
    <col min="8" max="8" width="16.33203125" style="12" customWidth="1"/>
    <col min="9" max="9" width="13.33203125" style="12" customWidth="1"/>
    <col min="10" max="10" width="12" style="12" customWidth="1"/>
    <col min="11" max="12" width="8.33203125" style="12" customWidth="1"/>
    <col min="13" max="13" width="8" style="12" customWidth="1"/>
    <col min="14" max="14" width="8.6640625" style="12" customWidth="1"/>
    <col min="15" max="15" width="16.88671875" style="12" customWidth="1"/>
    <col min="16" max="16" width="8.33203125" style="12" customWidth="1"/>
    <col min="17" max="17" width="12.88671875" style="13" customWidth="1"/>
    <col min="18" max="18" width="12.109375" style="13" customWidth="1"/>
    <col min="19" max="19" width="12.33203125" style="13" customWidth="1"/>
    <col min="20" max="20" width="10.109375" style="12" customWidth="1"/>
    <col min="21" max="21" width="11" style="12" customWidth="1"/>
    <col min="22" max="25" width="8.33203125" style="12" customWidth="1"/>
    <col min="26" max="16384" width="8.88671875" style="12"/>
  </cols>
  <sheetData>
    <row r="1" spans="1:25" ht="41.4">
      <c r="A1" s="14" t="s">
        <v>799</v>
      </c>
      <c r="B1" s="14" t="s">
        <v>800</v>
      </c>
      <c r="C1" s="14" t="s">
        <v>739</v>
      </c>
      <c r="D1" s="14" t="s">
        <v>740</v>
      </c>
      <c r="E1" s="14" t="s">
        <v>741</v>
      </c>
      <c r="F1" s="14" t="s">
        <v>801</v>
      </c>
      <c r="G1" s="14" t="s">
        <v>802</v>
      </c>
      <c r="H1" s="14" t="s">
        <v>803</v>
      </c>
      <c r="I1" s="14" t="s">
        <v>804</v>
      </c>
      <c r="J1" s="14" t="s">
        <v>805</v>
      </c>
      <c r="K1" s="14" t="s">
        <v>261</v>
      </c>
      <c r="L1" s="14" t="s">
        <v>806</v>
      </c>
      <c r="M1" s="14" t="s">
        <v>742</v>
      </c>
      <c r="N1" s="14" t="s">
        <v>743</v>
      </c>
      <c r="O1" s="15" t="s">
        <v>807</v>
      </c>
      <c r="P1" s="15" t="s">
        <v>808</v>
      </c>
      <c r="Q1" s="14" t="s">
        <v>744</v>
      </c>
      <c r="R1" s="14" t="s">
        <v>745</v>
      </c>
      <c r="S1" s="14" t="s">
        <v>746</v>
      </c>
      <c r="T1" s="14" t="s">
        <v>809</v>
      </c>
      <c r="U1" s="14" t="s">
        <v>810</v>
      </c>
      <c r="V1" s="14" t="s">
        <v>811</v>
      </c>
      <c r="W1" s="14" t="s">
        <v>812</v>
      </c>
      <c r="X1" s="14" t="s">
        <v>747</v>
      </c>
      <c r="Y1" s="14" t="s">
        <v>813</v>
      </c>
    </row>
    <row r="2" spans="1:25">
      <c r="A2" s="13" t="s">
        <v>814</v>
      </c>
      <c r="B2" s="16" t="e">
        <f>#REF!</f>
        <v>#REF!</v>
      </c>
      <c r="C2" s="13" t="s">
        <v>757</v>
      </c>
      <c r="D2" s="13" t="s">
        <v>749</v>
      </c>
      <c r="E2" s="13" t="s">
        <v>750</v>
      </c>
      <c r="F2" s="13" t="s">
        <v>815</v>
      </c>
      <c r="G2" s="16"/>
      <c r="H2" s="17" t="e">
        <f>#REF!</f>
        <v>#REF!</v>
      </c>
      <c r="I2" s="16"/>
      <c r="J2" s="13" t="e">
        <f>#REF!</f>
        <v>#REF!</v>
      </c>
      <c r="K2" s="13"/>
      <c r="L2" s="16"/>
      <c r="M2" s="13" t="s">
        <v>778</v>
      </c>
      <c r="N2" s="13" t="s">
        <v>752</v>
      </c>
      <c r="O2" s="18"/>
      <c r="P2" s="18"/>
      <c r="T2" s="19"/>
      <c r="U2" s="20" t="e">
        <f>#REF!</f>
        <v>#REF!</v>
      </c>
      <c r="V2" s="16"/>
      <c r="W2" s="16"/>
      <c r="X2" s="13"/>
      <c r="Y2" s="16"/>
    </row>
    <row r="3" spans="1:25">
      <c r="A3" s="13" t="s">
        <v>816</v>
      </c>
      <c r="B3" s="16" t="e">
        <f>#REF!</f>
        <v>#REF!</v>
      </c>
      <c r="C3" s="13" t="s">
        <v>757</v>
      </c>
      <c r="D3" s="13" t="s">
        <v>749</v>
      </c>
      <c r="E3" s="13" t="s">
        <v>750</v>
      </c>
      <c r="F3" s="13" t="s">
        <v>815</v>
      </c>
      <c r="G3" s="16"/>
      <c r="H3" s="17" t="e">
        <f>#REF!</f>
        <v>#REF!</v>
      </c>
      <c r="I3" s="16"/>
      <c r="J3" s="13" t="e">
        <f>#REF!</f>
        <v>#REF!</v>
      </c>
      <c r="K3" s="13"/>
      <c r="L3" s="16"/>
      <c r="M3" s="13" t="s">
        <v>778</v>
      </c>
      <c r="N3" s="13" t="s">
        <v>752</v>
      </c>
      <c r="O3" s="18"/>
      <c r="P3" s="18"/>
      <c r="T3" s="19"/>
      <c r="U3" s="20" t="e">
        <f>#REF!</f>
        <v>#REF!</v>
      </c>
      <c r="V3" s="16"/>
      <c r="W3" s="16"/>
      <c r="X3" s="13"/>
      <c r="Y3" s="16"/>
    </row>
    <row r="4" spans="1:25">
      <c r="A4" s="13" t="s">
        <v>817</v>
      </c>
      <c r="B4" s="16" t="e">
        <f>#REF!</f>
        <v>#REF!</v>
      </c>
      <c r="C4" s="13" t="s">
        <v>757</v>
      </c>
      <c r="D4" s="13" t="s">
        <v>749</v>
      </c>
      <c r="E4" s="13" t="s">
        <v>750</v>
      </c>
      <c r="F4" s="13" t="s">
        <v>815</v>
      </c>
      <c r="G4" s="16"/>
      <c r="H4" s="17" t="e">
        <f>#REF!</f>
        <v>#REF!</v>
      </c>
      <c r="I4" s="16"/>
      <c r="J4" s="13" t="e">
        <f>#REF!</f>
        <v>#REF!</v>
      </c>
      <c r="K4" s="13"/>
      <c r="L4" s="16"/>
      <c r="M4" s="13" t="s">
        <v>778</v>
      </c>
      <c r="N4" s="13" t="s">
        <v>752</v>
      </c>
      <c r="O4" s="18"/>
      <c r="P4" s="18"/>
      <c r="T4" s="19"/>
      <c r="U4" s="20" t="e">
        <f>#REF!</f>
        <v>#REF!</v>
      </c>
      <c r="V4" s="16"/>
      <c r="W4" s="16"/>
      <c r="X4" s="13"/>
      <c r="Y4" s="16"/>
    </row>
    <row r="5" spans="1:25">
      <c r="A5" s="13" t="s">
        <v>818</v>
      </c>
      <c r="B5" s="16" t="e">
        <f>#REF!</f>
        <v>#REF!</v>
      </c>
      <c r="C5" s="13" t="s">
        <v>757</v>
      </c>
      <c r="D5" s="13" t="s">
        <v>749</v>
      </c>
      <c r="E5" s="13" t="s">
        <v>750</v>
      </c>
      <c r="F5" s="13" t="s">
        <v>815</v>
      </c>
      <c r="G5" s="16"/>
      <c r="H5" s="17" t="e">
        <f>#REF!</f>
        <v>#REF!</v>
      </c>
      <c r="I5" s="16"/>
      <c r="J5" s="13" t="e">
        <f>#REF!</f>
        <v>#REF!</v>
      </c>
      <c r="K5" s="13"/>
      <c r="L5" s="16"/>
      <c r="M5" s="13" t="s">
        <v>778</v>
      </c>
      <c r="N5" s="13" t="s">
        <v>752</v>
      </c>
      <c r="O5" s="21"/>
      <c r="P5" s="18"/>
      <c r="T5" s="19"/>
      <c r="U5" s="20" t="e">
        <f>#REF!</f>
        <v>#REF!</v>
      </c>
      <c r="V5" s="16"/>
      <c r="W5" s="16"/>
      <c r="X5" s="13"/>
      <c r="Y5" s="16"/>
    </row>
    <row r="6" spans="1:25">
      <c r="A6" s="13" t="s">
        <v>819</v>
      </c>
      <c r="B6" s="16" t="e">
        <f>#REF!</f>
        <v>#REF!</v>
      </c>
      <c r="C6" s="13" t="s">
        <v>757</v>
      </c>
      <c r="D6" s="13" t="s">
        <v>749</v>
      </c>
      <c r="E6" s="13" t="s">
        <v>750</v>
      </c>
      <c r="F6" s="13" t="s">
        <v>815</v>
      </c>
      <c r="G6" s="16"/>
      <c r="H6" s="17" t="e">
        <f>#REF!</f>
        <v>#REF!</v>
      </c>
      <c r="I6" s="16"/>
      <c r="J6" s="13" t="e">
        <f>#REF!</f>
        <v>#REF!</v>
      </c>
      <c r="K6" s="13"/>
      <c r="L6" s="16"/>
      <c r="M6" s="13" t="s">
        <v>778</v>
      </c>
      <c r="N6" s="13" t="s">
        <v>752</v>
      </c>
      <c r="O6" s="18"/>
      <c r="P6" s="22"/>
      <c r="T6" s="19"/>
      <c r="U6" s="20" t="e">
        <f>#REF!</f>
        <v>#REF!</v>
      </c>
      <c r="V6" s="16"/>
      <c r="W6" s="16"/>
      <c r="X6" s="13"/>
      <c r="Y6" s="16"/>
    </row>
    <row r="7" spans="1:25">
      <c r="A7" s="13" t="s">
        <v>820</v>
      </c>
      <c r="B7" s="16" t="e">
        <f>#REF!</f>
        <v>#REF!</v>
      </c>
      <c r="C7" s="13" t="s">
        <v>757</v>
      </c>
      <c r="D7" s="13" t="s">
        <v>749</v>
      </c>
      <c r="E7" s="13" t="s">
        <v>750</v>
      </c>
      <c r="F7" s="13" t="s">
        <v>815</v>
      </c>
      <c r="G7" s="16"/>
      <c r="H7" s="17" t="e">
        <f>#REF!</f>
        <v>#REF!</v>
      </c>
      <c r="I7" s="16"/>
      <c r="J7" s="13" t="e">
        <f>#REF!</f>
        <v>#REF!</v>
      </c>
      <c r="K7" s="13"/>
      <c r="L7" s="16"/>
      <c r="M7" s="13" t="s">
        <v>778</v>
      </c>
      <c r="N7" s="13" t="s">
        <v>752</v>
      </c>
      <c r="O7" s="18"/>
      <c r="P7" s="18"/>
      <c r="T7" s="19"/>
      <c r="U7" s="20" t="e">
        <f>#REF!</f>
        <v>#REF!</v>
      </c>
      <c r="V7" s="16"/>
      <c r="W7" s="16"/>
      <c r="X7" s="13"/>
      <c r="Y7" s="16"/>
    </row>
    <row r="8" spans="1:25">
      <c r="A8" s="13" t="s">
        <v>821</v>
      </c>
      <c r="B8" s="16" t="e">
        <f>#REF!</f>
        <v>#REF!</v>
      </c>
      <c r="C8" s="13" t="s">
        <v>757</v>
      </c>
      <c r="D8" s="13" t="s">
        <v>749</v>
      </c>
      <c r="E8" s="13" t="s">
        <v>750</v>
      </c>
      <c r="F8" s="13" t="s">
        <v>815</v>
      </c>
      <c r="G8" s="16"/>
      <c r="H8" s="17" t="e">
        <f>#REF!</f>
        <v>#REF!</v>
      </c>
      <c r="I8" s="16"/>
      <c r="J8" s="13" t="e">
        <f>#REF!</f>
        <v>#REF!</v>
      </c>
      <c r="K8" s="13"/>
      <c r="L8" s="16"/>
      <c r="M8" s="13" t="s">
        <v>778</v>
      </c>
      <c r="N8" s="13" t="s">
        <v>752</v>
      </c>
      <c r="O8" s="22"/>
      <c r="P8" s="18"/>
      <c r="T8" s="19"/>
      <c r="U8" s="20" t="e">
        <f>#REF!</f>
        <v>#REF!</v>
      </c>
      <c r="V8" s="16"/>
      <c r="W8" s="16"/>
      <c r="X8" s="13"/>
      <c r="Y8" s="16"/>
    </row>
    <row r="9" spans="1:25">
      <c r="A9" s="13" t="s">
        <v>822</v>
      </c>
      <c r="B9" s="16" t="e">
        <f>#REF!</f>
        <v>#REF!</v>
      </c>
      <c r="C9" s="13" t="s">
        <v>757</v>
      </c>
      <c r="D9" s="13" t="s">
        <v>749</v>
      </c>
      <c r="E9" s="13" t="s">
        <v>750</v>
      </c>
      <c r="F9" s="13" t="s">
        <v>815</v>
      </c>
      <c r="G9" s="16"/>
      <c r="H9" s="17" t="e">
        <f>#REF!</f>
        <v>#REF!</v>
      </c>
      <c r="I9" s="16"/>
      <c r="J9" s="13" t="e">
        <f>#REF!</f>
        <v>#REF!</v>
      </c>
      <c r="K9" s="13"/>
      <c r="L9" s="16"/>
      <c r="M9" s="13" t="s">
        <v>778</v>
      </c>
      <c r="N9" s="13" t="s">
        <v>752</v>
      </c>
      <c r="O9" s="22"/>
      <c r="P9" s="18"/>
      <c r="T9" s="19"/>
      <c r="U9" s="20" t="e">
        <f>#REF!</f>
        <v>#REF!</v>
      </c>
      <c r="V9" s="16"/>
      <c r="W9" s="16"/>
      <c r="X9" s="13"/>
      <c r="Y9" s="16"/>
    </row>
    <row r="10" spans="1:25">
      <c r="A10" s="13" t="s">
        <v>823</v>
      </c>
      <c r="B10" s="16" t="e">
        <f>#REF!</f>
        <v>#REF!</v>
      </c>
      <c r="C10" s="13" t="s">
        <v>757</v>
      </c>
      <c r="D10" s="13" t="s">
        <v>749</v>
      </c>
      <c r="E10" s="13" t="s">
        <v>750</v>
      </c>
      <c r="F10" s="13" t="s">
        <v>815</v>
      </c>
      <c r="G10" s="16"/>
      <c r="H10" s="17" t="e">
        <f>#REF!</f>
        <v>#REF!</v>
      </c>
      <c r="I10" s="16"/>
      <c r="J10" s="13" t="e">
        <f>#REF!</f>
        <v>#REF!</v>
      </c>
      <c r="K10" s="13"/>
      <c r="L10" s="16"/>
      <c r="M10" s="13" t="s">
        <v>778</v>
      </c>
      <c r="N10" s="13" t="s">
        <v>752</v>
      </c>
      <c r="O10" s="18"/>
      <c r="P10" s="18"/>
      <c r="T10" s="19"/>
      <c r="U10" s="20" t="e">
        <f>#REF!</f>
        <v>#REF!</v>
      </c>
      <c r="V10" s="16"/>
      <c r="W10" s="16"/>
      <c r="X10" s="13"/>
      <c r="Y10" s="16"/>
    </row>
    <row r="11" spans="1:25">
      <c r="A11" s="13" t="s">
        <v>824</v>
      </c>
      <c r="B11" s="16" t="e">
        <f>#REF!</f>
        <v>#REF!</v>
      </c>
      <c r="C11" s="13" t="s">
        <v>757</v>
      </c>
      <c r="D11" s="13" t="s">
        <v>749</v>
      </c>
      <c r="E11" s="13" t="s">
        <v>750</v>
      </c>
      <c r="F11" s="13" t="s">
        <v>815</v>
      </c>
      <c r="G11" s="16"/>
      <c r="H11" s="17" t="e">
        <f>#REF!</f>
        <v>#REF!</v>
      </c>
      <c r="I11" s="16"/>
      <c r="J11" s="13" t="e">
        <f>#REF!</f>
        <v>#REF!</v>
      </c>
      <c r="K11" s="13"/>
      <c r="L11" s="16"/>
      <c r="M11" s="13" t="s">
        <v>778</v>
      </c>
      <c r="N11" s="13" t="s">
        <v>752</v>
      </c>
      <c r="O11" s="18"/>
      <c r="P11" s="18"/>
      <c r="T11" s="19"/>
      <c r="U11" s="20" t="e">
        <f>#REF!</f>
        <v>#REF!</v>
      </c>
      <c r="V11" s="16"/>
      <c r="W11" s="16"/>
      <c r="X11" s="13"/>
      <c r="Y11" s="16"/>
    </row>
    <row r="12" spans="1:25">
      <c r="A12" s="13" t="s">
        <v>825</v>
      </c>
      <c r="B12" s="16" t="e">
        <f>#REF!</f>
        <v>#REF!</v>
      </c>
      <c r="C12" s="13" t="s">
        <v>757</v>
      </c>
      <c r="D12" s="13" t="s">
        <v>749</v>
      </c>
      <c r="E12" s="13" t="s">
        <v>750</v>
      </c>
      <c r="F12" s="13" t="s">
        <v>815</v>
      </c>
      <c r="G12" s="16"/>
      <c r="H12" s="17" t="e">
        <f>#REF!</f>
        <v>#REF!</v>
      </c>
      <c r="I12" s="16"/>
      <c r="J12" s="13" t="e">
        <f>#REF!</f>
        <v>#REF!</v>
      </c>
      <c r="K12" s="13"/>
      <c r="L12" s="16"/>
      <c r="M12" s="13" t="s">
        <v>778</v>
      </c>
      <c r="N12" s="13" t="s">
        <v>752</v>
      </c>
      <c r="O12" s="18"/>
      <c r="P12" s="18"/>
      <c r="T12" s="19"/>
      <c r="U12" s="20" t="e">
        <f>#REF!</f>
        <v>#REF!</v>
      </c>
      <c r="V12" s="16"/>
      <c r="W12" s="16"/>
      <c r="X12" s="13"/>
      <c r="Y12" s="16"/>
    </row>
    <row r="13" spans="1:25">
      <c r="A13" s="13" t="s">
        <v>826</v>
      </c>
      <c r="B13" s="16" t="e">
        <f>#REF!</f>
        <v>#REF!</v>
      </c>
      <c r="C13" s="13" t="s">
        <v>757</v>
      </c>
      <c r="D13" s="13" t="s">
        <v>749</v>
      </c>
      <c r="E13" s="13" t="s">
        <v>750</v>
      </c>
      <c r="F13" s="13" t="s">
        <v>815</v>
      </c>
      <c r="G13" s="16"/>
      <c r="H13" s="17" t="e">
        <f>#REF!</f>
        <v>#REF!</v>
      </c>
      <c r="I13" s="16"/>
      <c r="J13" s="13" t="e">
        <f>#REF!</f>
        <v>#REF!</v>
      </c>
      <c r="K13" s="13"/>
      <c r="L13" s="16"/>
      <c r="M13" s="13" t="s">
        <v>778</v>
      </c>
      <c r="N13" s="13" t="s">
        <v>752</v>
      </c>
      <c r="O13" s="18"/>
      <c r="P13" s="18"/>
      <c r="T13" s="19"/>
      <c r="U13" s="20" t="e">
        <f>#REF!</f>
        <v>#REF!</v>
      </c>
      <c r="V13" s="16"/>
      <c r="W13" s="16"/>
      <c r="X13" s="13"/>
      <c r="Y13" s="16"/>
    </row>
    <row r="14" spans="1:25">
      <c r="A14" s="13" t="s">
        <v>827</v>
      </c>
      <c r="B14" s="16" t="e">
        <f>#REF!</f>
        <v>#REF!</v>
      </c>
      <c r="C14" s="13" t="s">
        <v>757</v>
      </c>
      <c r="D14" s="13" t="s">
        <v>749</v>
      </c>
      <c r="E14" s="13" t="s">
        <v>750</v>
      </c>
      <c r="F14" s="13" t="s">
        <v>815</v>
      </c>
      <c r="G14" s="16"/>
      <c r="H14" s="17" t="e">
        <f>#REF!</f>
        <v>#REF!</v>
      </c>
      <c r="I14" s="16"/>
      <c r="J14" s="13" t="e">
        <f>#REF!</f>
        <v>#REF!</v>
      </c>
      <c r="K14" s="13"/>
      <c r="L14" s="16"/>
      <c r="M14" s="13" t="s">
        <v>778</v>
      </c>
      <c r="N14" s="13" t="s">
        <v>752</v>
      </c>
      <c r="O14" s="18"/>
      <c r="P14" s="18"/>
      <c r="T14" s="19"/>
      <c r="U14" s="20" t="e">
        <f>#REF!</f>
        <v>#REF!</v>
      </c>
      <c r="V14" s="16"/>
      <c r="W14" s="16"/>
      <c r="X14" s="13"/>
      <c r="Y14" s="16"/>
    </row>
    <row r="15" spans="1:25">
      <c r="A15" s="13" t="s">
        <v>828</v>
      </c>
      <c r="B15" s="16" t="e">
        <f>#REF!</f>
        <v>#REF!</v>
      </c>
      <c r="C15" s="13" t="s">
        <v>757</v>
      </c>
      <c r="D15" s="13" t="s">
        <v>749</v>
      </c>
      <c r="E15" s="13" t="s">
        <v>750</v>
      </c>
      <c r="F15" s="13" t="s">
        <v>815</v>
      </c>
      <c r="G15" s="16"/>
      <c r="H15" s="17" t="e">
        <f>#REF!</f>
        <v>#REF!</v>
      </c>
      <c r="I15" s="16"/>
      <c r="J15" s="13" t="e">
        <f>#REF!</f>
        <v>#REF!</v>
      </c>
      <c r="K15" s="13"/>
      <c r="L15" s="16"/>
      <c r="M15" s="13" t="s">
        <v>778</v>
      </c>
      <c r="N15" s="13" t="s">
        <v>752</v>
      </c>
      <c r="O15" s="18"/>
      <c r="P15" s="18"/>
      <c r="T15" s="19"/>
      <c r="U15" s="20" t="e">
        <f>#REF!</f>
        <v>#REF!</v>
      </c>
      <c r="V15" s="16"/>
      <c r="W15" s="16"/>
      <c r="X15" s="13"/>
      <c r="Y15" s="16"/>
    </row>
    <row r="16" spans="1:25">
      <c r="A16" s="13" t="s">
        <v>829</v>
      </c>
      <c r="B16" s="16" t="e">
        <f>#REF!</f>
        <v>#REF!</v>
      </c>
      <c r="C16" s="13" t="s">
        <v>757</v>
      </c>
      <c r="D16" s="13" t="s">
        <v>749</v>
      </c>
      <c r="E16" s="13" t="s">
        <v>750</v>
      </c>
      <c r="F16" s="13" t="s">
        <v>815</v>
      </c>
      <c r="G16" s="16"/>
      <c r="H16" s="17" t="e">
        <f>#REF!</f>
        <v>#REF!</v>
      </c>
      <c r="I16" s="16"/>
      <c r="J16" s="13" t="e">
        <f>#REF!</f>
        <v>#REF!</v>
      </c>
      <c r="K16" s="13"/>
      <c r="L16" s="16"/>
      <c r="M16" s="13" t="s">
        <v>778</v>
      </c>
      <c r="N16" s="13" t="s">
        <v>752</v>
      </c>
      <c r="O16" s="18"/>
      <c r="P16" s="18"/>
      <c r="T16" s="19"/>
      <c r="U16" s="20" t="e">
        <f>#REF!</f>
        <v>#REF!</v>
      </c>
      <c r="V16" s="16"/>
      <c r="W16" s="16"/>
      <c r="X16" s="13"/>
      <c r="Y16" s="16"/>
    </row>
    <row r="17" spans="1:25">
      <c r="A17" s="13" t="s">
        <v>830</v>
      </c>
      <c r="B17" s="16" t="e">
        <f>#REF!</f>
        <v>#REF!</v>
      </c>
      <c r="C17" s="13" t="s">
        <v>757</v>
      </c>
      <c r="D17" s="13" t="s">
        <v>749</v>
      </c>
      <c r="E17" s="13" t="s">
        <v>750</v>
      </c>
      <c r="F17" s="13" t="s">
        <v>815</v>
      </c>
      <c r="G17" s="16"/>
      <c r="H17" s="17" t="e">
        <f>#REF!</f>
        <v>#REF!</v>
      </c>
      <c r="I17" s="16"/>
      <c r="J17" s="13" t="e">
        <f>#REF!</f>
        <v>#REF!</v>
      </c>
      <c r="K17" s="13"/>
      <c r="L17" s="16"/>
      <c r="M17" s="13" t="s">
        <v>778</v>
      </c>
      <c r="N17" s="13" t="s">
        <v>752</v>
      </c>
      <c r="O17" s="18"/>
      <c r="P17" s="18"/>
      <c r="T17" s="19"/>
      <c r="U17" s="20" t="e">
        <f>#REF!</f>
        <v>#REF!</v>
      </c>
      <c r="V17" s="16"/>
      <c r="W17" s="16"/>
      <c r="X17" s="13"/>
      <c r="Y17" s="16"/>
    </row>
    <row r="18" spans="1:25">
      <c r="A18" s="13" t="s">
        <v>831</v>
      </c>
      <c r="B18" s="16" t="e">
        <f>#REF!</f>
        <v>#REF!</v>
      </c>
      <c r="C18" s="13" t="s">
        <v>757</v>
      </c>
      <c r="D18" s="13" t="s">
        <v>749</v>
      </c>
      <c r="E18" s="13" t="s">
        <v>750</v>
      </c>
      <c r="F18" s="13" t="s">
        <v>815</v>
      </c>
      <c r="G18" s="16"/>
      <c r="H18" s="17" t="e">
        <f>#REF!</f>
        <v>#REF!</v>
      </c>
      <c r="I18" s="16"/>
      <c r="J18" s="13" t="e">
        <f>#REF!</f>
        <v>#REF!</v>
      </c>
      <c r="K18" s="13"/>
      <c r="L18" s="16"/>
      <c r="M18" s="13" t="s">
        <v>778</v>
      </c>
      <c r="N18" s="13" t="s">
        <v>752</v>
      </c>
      <c r="O18" s="18"/>
      <c r="P18" s="18"/>
      <c r="T18" s="19"/>
      <c r="U18" s="20" t="e">
        <f>#REF!</f>
        <v>#REF!</v>
      </c>
      <c r="V18" s="16"/>
      <c r="W18" s="16"/>
      <c r="X18" s="13"/>
      <c r="Y18" s="16"/>
    </row>
    <row r="19" spans="1:25">
      <c r="A19" s="13" t="s">
        <v>832</v>
      </c>
      <c r="B19" s="16" t="e">
        <f>#REF!</f>
        <v>#REF!</v>
      </c>
      <c r="C19" s="13" t="s">
        <v>757</v>
      </c>
      <c r="D19" s="13" t="s">
        <v>749</v>
      </c>
      <c r="E19" s="13" t="s">
        <v>750</v>
      </c>
      <c r="F19" s="13" t="s">
        <v>815</v>
      </c>
      <c r="G19" s="16"/>
      <c r="H19" s="17" t="e">
        <f>#REF!</f>
        <v>#REF!</v>
      </c>
      <c r="I19" s="16"/>
      <c r="J19" s="13" t="e">
        <f>#REF!</f>
        <v>#REF!</v>
      </c>
      <c r="K19" s="13"/>
      <c r="L19" s="16"/>
      <c r="M19" s="13" t="s">
        <v>778</v>
      </c>
      <c r="N19" s="13" t="s">
        <v>752</v>
      </c>
      <c r="O19" s="18"/>
      <c r="P19" s="22"/>
      <c r="T19" s="19"/>
      <c r="U19" s="20" t="e">
        <f>#REF!</f>
        <v>#REF!</v>
      </c>
      <c r="V19" s="16"/>
      <c r="W19" s="16"/>
      <c r="X19" s="13"/>
      <c r="Y19" s="16"/>
    </row>
    <row r="20" spans="1:25">
      <c r="A20" s="13" t="s">
        <v>833</v>
      </c>
      <c r="B20" s="16" t="e">
        <f>#REF!</f>
        <v>#REF!</v>
      </c>
      <c r="C20" s="13" t="s">
        <v>757</v>
      </c>
      <c r="D20" s="13" t="s">
        <v>749</v>
      </c>
      <c r="E20" s="13" t="s">
        <v>750</v>
      </c>
      <c r="F20" s="13" t="s">
        <v>815</v>
      </c>
      <c r="G20" s="16"/>
      <c r="H20" s="17" t="e">
        <f>#REF!</f>
        <v>#REF!</v>
      </c>
      <c r="I20" s="16"/>
      <c r="J20" s="13" t="e">
        <f>#REF!</f>
        <v>#REF!</v>
      </c>
      <c r="K20" s="13"/>
      <c r="L20" s="16"/>
      <c r="M20" s="13" t="s">
        <v>778</v>
      </c>
      <c r="N20" s="13" t="s">
        <v>752</v>
      </c>
      <c r="O20" s="18"/>
      <c r="P20" s="18"/>
      <c r="T20" s="19"/>
      <c r="U20" s="20" t="e">
        <f>#REF!</f>
        <v>#REF!</v>
      </c>
      <c r="V20" s="16"/>
      <c r="W20" s="16"/>
      <c r="X20" s="13"/>
      <c r="Y20" s="16"/>
    </row>
    <row r="21" spans="1:25">
      <c r="A21" s="13" t="s">
        <v>834</v>
      </c>
      <c r="B21" s="16" t="e">
        <f>#REF!</f>
        <v>#REF!</v>
      </c>
      <c r="C21" s="13" t="s">
        <v>757</v>
      </c>
      <c r="D21" s="13" t="s">
        <v>749</v>
      </c>
      <c r="E21" s="13" t="s">
        <v>750</v>
      </c>
      <c r="F21" s="13" t="s">
        <v>815</v>
      </c>
      <c r="G21" s="16"/>
      <c r="H21" s="17" t="e">
        <f>#REF!</f>
        <v>#REF!</v>
      </c>
      <c r="I21" s="16"/>
      <c r="J21" s="13" t="e">
        <f>#REF!</f>
        <v>#REF!</v>
      </c>
      <c r="K21" s="13"/>
      <c r="L21" s="16"/>
      <c r="M21" s="13" t="s">
        <v>778</v>
      </c>
      <c r="N21" s="13" t="s">
        <v>752</v>
      </c>
      <c r="O21" s="18"/>
      <c r="P21" s="18"/>
      <c r="T21" s="19"/>
      <c r="U21" s="20" t="e">
        <f>#REF!</f>
        <v>#REF!</v>
      </c>
      <c r="V21" s="16"/>
      <c r="W21" s="16"/>
      <c r="X21" s="13"/>
      <c r="Y21" s="16"/>
    </row>
    <row r="22" spans="1:25">
      <c r="A22" s="13" t="s">
        <v>835</v>
      </c>
      <c r="B22" s="16" t="e">
        <f>#REF!</f>
        <v>#REF!</v>
      </c>
      <c r="C22" s="13" t="s">
        <v>757</v>
      </c>
      <c r="D22" s="13" t="s">
        <v>749</v>
      </c>
      <c r="E22" s="13" t="s">
        <v>750</v>
      </c>
      <c r="F22" s="13" t="s">
        <v>815</v>
      </c>
      <c r="G22" s="16"/>
      <c r="H22" s="17" t="e">
        <f>#REF!</f>
        <v>#REF!</v>
      </c>
      <c r="I22" s="16"/>
      <c r="J22" s="13" t="e">
        <f>#REF!</f>
        <v>#REF!</v>
      </c>
      <c r="K22" s="13"/>
      <c r="L22" s="16"/>
      <c r="M22" s="13" t="s">
        <v>778</v>
      </c>
      <c r="N22" s="13" t="s">
        <v>752</v>
      </c>
      <c r="O22" s="18"/>
      <c r="P22" s="18"/>
      <c r="T22" s="19"/>
      <c r="U22" s="20" t="e">
        <f>#REF!</f>
        <v>#REF!</v>
      </c>
      <c r="V22" s="16"/>
      <c r="W22" s="16"/>
      <c r="X22" s="13"/>
      <c r="Y22" s="16"/>
    </row>
    <row r="23" spans="1:25">
      <c r="A23" s="13" t="s">
        <v>836</v>
      </c>
      <c r="B23" s="16" t="e">
        <f>#REF!</f>
        <v>#REF!</v>
      </c>
      <c r="C23" s="13" t="s">
        <v>757</v>
      </c>
      <c r="D23" s="13" t="s">
        <v>749</v>
      </c>
      <c r="E23" s="13" t="s">
        <v>750</v>
      </c>
      <c r="F23" s="13" t="s">
        <v>815</v>
      </c>
      <c r="G23" s="16"/>
      <c r="H23" s="17" t="e">
        <f>#REF!</f>
        <v>#REF!</v>
      </c>
      <c r="I23" s="16"/>
      <c r="J23" s="13" t="e">
        <f>#REF!</f>
        <v>#REF!</v>
      </c>
      <c r="K23" s="13"/>
      <c r="L23" s="16"/>
      <c r="M23" s="13" t="s">
        <v>778</v>
      </c>
      <c r="N23" s="13" t="s">
        <v>752</v>
      </c>
      <c r="O23" s="18"/>
      <c r="P23" s="18"/>
      <c r="T23" s="19"/>
      <c r="U23" s="20" t="e">
        <f>#REF!</f>
        <v>#REF!</v>
      </c>
      <c r="V23" s="16"/>
      <c r="W23" s="16"/>
      <c r="X23" s="13"/>
      <c r="Y23" s="16"/>
    </row>
    <row r="24" spans="1:25">
      <c r="A24" s="13" t="s">
        <v>837</v>
      </c>
      <c r="B24" s="16" t="e">
        <f>#REF!</f>
        <v>#REF!</v>
      </c>
      <c r="C24" s="13" t="s">
        <v>757</v>
      </c>
      <c r="D24" s="13" t="s">
        <v>749</v>
      </c>
      <c r="E24" s="13" t="s">
        <v>750</v>
      </c>
      <c r="F24" s="13" t="s">
        <v>815</v>
      </c>
      <c r="G24" s="16"/>
      <c r="H24" s="17" t="e">
        <f>#REF!</f>
        <v>#REF!</v>
      </c>
      <c r="I24" s="16"/>
      <c r="J24" s="13" t="e">
        <f>#REF!</f>
        <v>#REF!</v>
      </c>
      <c r="K24" s="13"/>
      <c r="L24" s="16"/>
      <c r="M24" s="13" t="s">
        <v>778</v>
      </c>
      <c r="N24" s="13" t="s">
        <v>752</v>
      </c>
      <c r="O24" s="18"/>
      <c r="P24" s="18"/>
      <c r="T24" s="19"/>
      <c r="U24" s="20" t="e">
        <f>#REF!</f>
        <v>#REF!</v>
      </c>
      <c r="V24" s="16"/>
      <c r="W24" s="16"/>
      <c r="X24" s="13"/>
      <c r="Y24" s="16"/>
    </row>
    <row r="25" spans="1:25">
      <c r="A25" s="13" t="s">
        <v>838</v>
      </c>
      <c r="B25" s="16" t="e">
        <f>#REF!</f>
        <v>#REF!</v>
      </c>
      <c r="C25" s="13" t="s">
        <v>757</v>
      </c>
      <c r="D25" s="13" t="s">
        <v>749</v>
      </c>
      <c r="E25" s="13" t="s">
        <v>750</v>
      </c>
      <c r="F25" s="13" t="s">
        <v>815</v>
      </c>
      <c r="G25" s="16"/>
      <c r="H25" s="17" t="e">
        <f>#REF!</f>
        <v>#REF!</v>
      </c>
      <c r="I25" s="16"/>
      <c r="J25" s="13" t="e">
        <f>#REF!</f>
        <v>#REF!</v>
      </c>
      <c r="K25" s="13"/>
      <c r="L25" s="16"/>
      <c r="M25" s="13" t="s">
        <v>778</v>
      </c>
      <c r="N25" s="13" t="s">
        <v>752</v>
      </c>
      <c r="O25" s="18"/>
      <c r="P25" s="18"/>
      <c r="T25" s="19"/>
      <c r="U25" s="20" t="e">
        <f>#REF!</f>
        <v>#REF!</v>
      </c>
      <c r="V25" s="16"/>
      <c r="W25" s="16"/>
      <c r="X25" s="13"/>
      <c r="Y25" s="16"/>
    </row>
    <row r="26" spans="1:25">
      <c r="A26" s="13" t="s">
        <v>839</v>
      </c>
      <c r="B26" s="16" t="e">
        <f>#REF!</f>
        <v>#REF!</v>
      </c>
      <c r="C26" s="13" t="s">
        <v>757</v>
      </c>
      <c r="D26" s="13" t="s">
        <v>749</v>
      </c>
      <c r="E26" s="13" t="s">
        <v>750</v>
      </c>
      <c r="F26" s="13" t="s">
        <v>815</v>
      </c>
      <c r="G26" s="16"/>
      <c r="H26" s="17" t="e">
        <f>#REF!</f>
        <v>#REF!</v>
      </c>
      <c r="I26" s="16"/>
      <c r="J26" s="13" t="e">
        <f>#REF!</f>
        <v>#REF!</v>
      </c>
      <c r="K26" s="13"/>
      <c r="L26" s="16"/>
      <c r="M26" s="13" t="s">
        <v>778</v>
      </c>
      <c r="N26" s="13" t="s">
        <v>752</v>
      </c>
      <c r="O26" s="18"/>
      <c r="P26" s="18"/>
      <c r="T26" s="19"/>
      <c r="U26" s="20" t="e">
        <f>#REF!</f>
        <v>#REF!</v>
      </c>
      <c r="V26" s="16"/>
      <c r="W26" s="16"/>
      <c r="X26" s="13"/>
      <c r="Y26" s="16"/>
    </row>
    <row r="27" spans="1:25">
      <c r="A27" s="13" t="s">
        <v>840</v>
      </c>
      <c r="B27" s="16" t="e">
        <f>#REF!</f>
        <v>#REF!</v>
      </c>
      <c r="C27" s="13" t="s">
        <v>757</v>
      </c>
      <c r="D27" s="13" t="s">
        <v>749</v>
      </c>
      <c r="E27" s="13" t="s">
        <v>750</v>
      </c>
      <c r="F27" s="13" t="s">
        <v>815</v>
      </c>
      <c r="G27" s="16"/>
      <c r="H27" s="17" t="e">
        <f>#REF!</f>
        <v>#REF!</v>
      </c>
      <c r="I27" s="16"/>
      <c r="J27" s="13" t="e">
        <f>#REF!</f>
        <v>#REF!</v>
      </c>
      <c r="K27" s="13"/>
      <c r="L27" s="16"/>
      <c r="M27" s="13" t="s">
        <v>778</v>
      </c>
      <c r="N27" s="13" t="s">
        <v>752</v>
      </c>
      <c r="O27" s="18"/>
      <c r="P27" s="18"/>
      <c r="T27" s="19"/>
      <c r="U27" s="20" t="e">
        <f>#REF!</f>
        <v>#REF!</v>
      </c>
      <c r="V27" s="16"/>
      <c r="W27" s="16"/>
      <c r="X27" s="13"/>
      <c r="Y27" s="16"/>
    </row>
    <row r="28" spans="1:25">
      <c r="A28" s="13" t="s">
        <v>841</v>
      </c>
      <c r="B28" s="16" t="e">
        <f>#REF!</f>
        <v>#REF!</v>
      </c>
      <c r="C28" s="13" t="s">
        <v>757</v>
      </c>
      <c r="D28" s="13" t="s">
        <v>749</v>
      </c>
      <c r="E28" s="13" t="s">
        <v>750</v>
      </c>
      <c r="F28" s="13" t="s">
        <v>815</v>
      </c>
      <c r="G28" s="16"/>
      <c r="H28" s="17" t="e">
        <f>#REF!</f>
        <v>#REF!</v>
      </c>
      <c r="I28" s="16"/>
      <c r="J28" s="13" t="e">
        <f>#REF!</f>
        <v>#REF!</v>
      </c>
      <c r="K28" s="13"/>
      <c r="L28" s="16"/>
      <c r="M28" s="13" t="s">
        <v>778</v>
      </c>
      <c r="N28" s="13" t="s">
        <v>752</v>
      </c>
      <c r="O28" s="18"/>
      <c r="P28" s="18"/>
      <c r="T28" s="19"/>
      <c r="U28" s="20" t="e">
        <f>#REF!</f>
        <v>#REF!</v>
      </c>
      <c r="V28" s="16"/>
      <c r="W28" s="16"/>
      <c r="X28" s="13"/>
      <c r="Y28" s="16"/>
    </row>
    <row r="29" spans="1:25">
      <c r="A29" s="13" t="s">
        <v>842</v>
      </c>
      <c r="B29" s="16" t="e">
        <f>#REF!</f>
        <v>#REF!</v>
      </c>
      <c r="C29" s="13" t="s">
        <v>757</v>
      </c>
      <c r="D29" s="13" t="s">
        <v>749</v>
      </c>
      <c r="E29" s="13" t="s">
        <v>750</v>
      </c>
      <c r="F29" s="13" t="s">
        <v>815</v>
      </c>
      <c r="G29" s="16"/>
      <c r="H29" s="17" t="e">
        <f>#REF!</f>
        <v>#REF!</v>
      </c>
      <c r="I29" s="16"/>
      <c r="J29" s="13" t="e">
        <f>#REF!</f>
        <v>#REF!</v>
      </c>
      <c r="K29" s="13"/>
      <c r="L29" s="16"/>
      <c r="M29" s="13" t="s">
        <v>778</v>
      </c>
      <c r="N29" s="13" t="s">
        <v>752</v>
      </c>
      <c r="O29" s="18"/>
      <c r="P29" s="18"/>
      <c r="T29" s="19"/>
      <c r="U29" s="20" t="e">
        <f>#REF!</f>
        <v>#REF!</v>
      </c>
      <c r="V29" s="16"/>
      <c r="W29" s="16"/>
      <c r="X29" s="13"/>
      <c r="Y29" s="16"/>
    </row>
    <row r="30" spans="1:25">
      <c r="A30" s="13" t="s">
        <v>843</v>
      </c>
      <c r="B30" s="16" t="e">
        <f>#REF!</f>
        <v>#REF!</v>
      </c>
      <c r="C30" s="13" t="s">
        <v>757</v>
      </c>
      <c r="D30" s="13" t="s">
        <v>749</v>
      </c>
      <c r="E30" s="13" t="s">
        <v>750</v>
      </c>
      <c r="F30" s="13" t="s">
        <v>815</v>
      </c>
      <c r="G30" s="16"/>
      <c r="H30" s="17" t="e">
        <f>#REF!</f>
        <v>#REF!</v>
      </c>
      <c r="I30" s="16"/>
      <c r="J30" s="13" t="e">
        <f>#REF!</f>
        <v>#REF!</v>
      </c>
      <c r="K30" s="13"/>
      <c r="L30" s="16"/>
      <c r="M30" s="13" t="s">
        <v>778</v>
      </c>
      <c r="N30" s="13" t="s">
        <v>752</v>
      </c>
      <c r="O30" s="18"/>
      <c r="P30" s="18"/>
      <c r="T30" s="19"/>
      <c r="U30" s="20" t="e">
        <f>#REF!</f>
        <v>#REF!</v>
      </c>
      <c r="V30" s="16"/>
      <c r="W30" s="16"/>
      <c r="X30" s="13"/>
      <c r="Y30" s="16"/>
    </row>
    <row r="31" spans="1:25">
      <c r="A31" s="13" t="s">
        <v>844</v>
      </c>
      <c r="B31" s="16" t="e">
        <f>#REF!</f>
        <v>#REF!</v>
      </c>
      <c r="C31" s="13" t="s">
        <v>757</v>
      </c>
      <c r="D31" s="13" t="s">
        <v>749</v>
      </c>
      <c r="E31" s="13" t="s">
        <v>750</v>
      </c>
      <c r="F31" s="13" t="s">
        <v>815</v>
      </c>
      <c r="G31" s="16"/>
      <c r="H31" s="17" t="e">
        <f>#REF!</f>
        <v>#REF!</v>
      </c>
      <c r="I31" s="16"/>
      <c r="J31" s="13" t="e">
        <f>#REF!</f>
        <v>#REF!</v>
      </c>
      <c r="K31" s="13"/>
      <c r="L31" s="16"/>
      <c r="M31" s="13" t="s">
        <v>778</v>
      </c>
      <c r="N31" s="13" t="s">
        <v>752</v>
      </c>
      <c r="O31" s="18"/>
      <c r="P31" s="18"/>
      <c r="T31" s="19"/>
      <c r="U31" s="20" t="e">
        <f>#REF!</f>
        <v>#REF!</v>
      </c>
      <c r="V31" s="16"/>
      <c r="W31" s="16"/>
      <c r="X31" s="13"/>
      <c r="Y31" s="16"/>
    </row>
    <row r="32" spans="1:25">
      <c r="A32" s="13" t="s">
        <v>845</v>
      </c>
      <c r="B32" s="16" t="e">
        <f>#REF!</f>
        <v>#REF!</v>
      </c>
      <c r="C32" s="13" t="s">
        <v>757</v>
      </c>
      <c r="D32" s="13" t="s">
        <v>749</v>
      </c>
      <c r="E32" s="13" t="s">
        <v>750</v>
      </c>
      <c r="F32" s="13" t="s">
        <v>815</v>
      </c>
      <c r="G32" s="16"/>
      <c r="H32" s="17" t="e">
        <f>#REF!</f>
        <v>#REF!</v>
      </c>
      <c r="I32" s="16"/>
      <c r="J32" s="13" t="e">
        <f>#REF!</f>
        <v>#REF!</v>
      </c>
      <c r="K32" s="13"/>
      <c r="L32" s="16"/>
      <c r="M32" s="13" t="s">
        <v>778</v>
      </c>
      <c r="N32" s="13" t="s">
        <v>752</v>
      </c>
      <c r="O32" s="18"/>
      <c r="P32" s="18"/>
      <c r="T32" s="19"/>
      <c r="U32" s="20" t="e">
        <f>#REF!</f>
        <v>#REF!</v>
      </c>
      <c r="V32" s="16"/>
      <c r="W32" s="16"/>
      <c r="X32" s="13"/>
      <c r="Y32" s="16"/>
    </row>
    <row r="33" spans="1:25">
      <c r="A33" s="13" t="s">
        <v>846</v>
      </c>
      <c r="B33" s="16" t="e">
        <f>#REF!</f>
        <v>#REF!</v>
      </c>
      <c r="C33" s="13" t="s">
        <v>757</v>
      </c>
      <c r="D33" s="13" t="s">
        <v>749</v>
      </c>
      <c r="E33" s="13" t="s">
        <v>750</v>
      </c>
      <c r="F33" s="13" t="s">
        <v>815</v>
      </c>
      <c r="G33" s="16"/>
      <c r="H33" s="17" t="e">
        <f>#REF!</f>
        <v>#REF!</v>
      </c>
      <c r="I33" s="16"/>
      <c r="J33" s="13" t="e">
        <f>#REF!</f>
        <v>#REF!</v>
      </c>
      <c r="K33" s="13"/>
      <c r="L33" s="16"/>
      <c r="M33" s="13" t="s">
        <v>778</v>
      </c>
      <c r="N33" s="13" t="s">
        <v>752</v>
      </c>
      <c r="O33" s="22"/>
      <c r="P33" s="18"/>
      <c r="T33" s="19"/>
      <c r="U33" s="20" t="e">
        <f>#REF!</f>
        <v>#REF!</v>
      </c>
      <c r="V33" s="16"/>
      <c r="W33" s="16"/>
      <c r="X33" s="13"/>
      <c r="Y33" s="16"/>
    </row>
    <row r="34" spans="1:25">
      <c r="A34" s="13" t="s">
        <v>847</v>
      </c>
      <c r="B34" s="16" t="e">
        <f>#REF!</f>
        <v>#REF!</v>
      </c>
      <c r="C34" s="13" t="s">
        <v>757</v>
      </c>
      <c r="D34" s="13" t="s">
        <v>749</v>
      </c>
      <c r="E34" s="13" t="s">
        <v>750</v>
      </c>
      <c r="F34" s="13" t="s">
        <v>815</v>
      </c>
      <c r="G34" s="16"/>
      <c r="H34" s="17" t="e">
        <f>#REF!</f>
        <v>#REF!</v>
      </c>
      <c r="I34" s="16"/>
      <c r="J34" s="13" t="e">
        <f>#REF!</f>
        <v>#REF!</v>
      </c>
      <c r="K34" s="13"/>
      <c r="L34" s="16"/>
      <c r="M34" s="13" t="s">
        <v>778</v>
      </c>
      <c r="N34" s="13" t="s">
        <v>752</v>
      </c>
      <c r="O34" s="22"/>
      <c r="P34" s="18"/>
      <c r="T34" s="19"/>
      <c r="U34" s="20" t="e">
        <f>#REF!</f>
        <v>#REF!</v>
      </c>
      <c r="V34" s="16"/>
      <c r="W34" s="16"/>
      <c r="X34" s="13"/>
      <c r="Y34" s="16"/>
    </row>
    <row r="35" spans="1:25">
      <c r="A35" s="13" t="s">
        <v>848</v>
      </c>
      <c r="B35" s="16" t="e">
        <f>#REF!</f>
        <v>#REF!</v>
      </c>
      <c r="C35" s="13" t="s">
        <v>757</v>
      </c>
      <c r="D35" s="13" t="s">
        <v>749</v>
      </c>
      <c r="E35" s="13" t="s">
        <v>750</v>
      </c>
      <c r="F35" s="13" t="s">
        <v>815</v>
      </c>
      <c r="G35" s="16"/>
      <c r="H35" s="17" t="e">
        <f>#REF!</f>
        <v>#REF!</v>
      </c>
      <c r="I35" s="16"/>
      <c r="J35" s="13" t="e">
        <f>#REF!</f>
        <v>#REF!</v>
      </c>
      <c r="K35" s="13"/>
      <c r="L35" s="16"/>
      <c r="M35" s="13" t="s">
        <v>778</v>
      </c>
      <c r="N35" s="13" t="s">
        <v>752</v>
      </c>
      <c r="O35" s="18"/>
      <c r="P35" s="18"/>
      <c r="T35" s="19"/>
      <c r="U35" s="20" t="e">
        <f>#REF!</f>
        <v>#REF!</v>
      </c>
      <c r="V35" s="16"/>
      <c r="W35" s="16"/>
      <c r="X35" s="13"/>
      <c r="Y35" s="16"/>
    </row>
    <row r="36" spans="1:25">
      <c r="A36" s="13" t="s">
        <v>849</v>
      </c>
      <c r="B36" s="16" t="e">
        <f>#REF!</f>
        <v>#REF!</v>
      </c>
      <c r="C36" s="13" t="s">
        <v>757</v>
      </c>
      <c r="D36" s="13" t="s">
        <v>749</v>
      </c>
      <c r="E36" s="13" t="s">
        <v>750</v>
      </c>
      <c r="F36" s="13" t="s">
        <v>815</v>
      </c>
      <c r="G36" s="16"/>
      <c r="H36" s="17" t="e">
        <f>#REF!</f>
        <v>#REF!</v>
      </c>
      <c r="I36" s="16"/>
      <c r="J36" s="13" t="e">
        <f>#REF!</f>
        <v>#REF!</v>
      </c>
      <c r="K36" s="13"/>
      <c r="L36" s="16"/>
      <c r="M36" s="13" t="s">
        <v>778</v>
      </c>
      <c r="N36" s="13" t="s">
        <v>752</v>
      </c>
      <c r="O36" s="18"/>
      <c r="P36" s="18"/>
      <c r="T36" s="19"/>
      <c r="U36" s="20" t="e">
        <f>#REF!</f>
        <v>#REF!</v>
      </c>
      <c r="V36" s="16"/>
      <c r="W36" s="16"/>
      <c r="X36" s="13"/>
      <c r="Y36" s="16"/>
    </row>
    <row r="37" spans="1:25">
      <c r="A37" s="13" t="s">
        <v>850</v>
      </c>
      <c r="B37" s="16" t="e">
        <f>#REF!</f>
        <v>#REF!</v>
      </c>
      <c r="C37" s="13" t="s">
        <v>757</v>
      </c>
      <c r="D37" s="13" t="s">
        <v>749</v>
      </c>
      <c r="E37" s="13" t="s">
        <v>750</v>
      </c>
      <c r="F37" s="13" t="s">
        <v>815</v>
      </c>
      <c r="G37" s="16"/>
      <c r="H37" s="17" t="e">
        <f>#REF!</f>
        <v>#REF!</v>
      </c>
      <c r="I37" s="16"/>
      <c r="J37" s="13" t="e">
        <f>#REF!</f>
        <v>#REF!</v>
      </c>
      <c r="K37" s="13"/>
      <c r="L37" s="16"/>
      <c r="M37" s="13" t="s">
        <v>778</v>
      </c>
      <c r="N37" s="13" t="s">
        <v>752</v>
      </c>
      <c r="O37" s="18"/>
      <c r="P37" s="18"/>
      <c r="T37" s="19"/>
      <c r="U37" s="20" t="e">
        <f>#REF!</f>
        <v>#REF!</v>
      </c>
      <c r="V37" s="16"/>
      <c r="W37" s="16"/>
      <c r="X37" s="13"/>
      <c r="Y37" s="16"/>
    </row>
    <row r="38" spans="1:25">
      <c r="A38" s="13" t="s">
        <v>851</v>
      </c>
      <c r="B38" s="16" t="e">
        <f>#REF!</f>
        <v>#REF!</v>
      </c>
      <c r="C38" s="13" t="s">
        <v>757</v>
      </c>
      <c r="D38" s="13" t="s">
        <v>749</v>
      </c>
      <c r="E38" s="13" t="s">
        <v>750</v>
      </c>
      <c r="F38" s="13" t="s">
        <v>815</v>
      </c>
      <c r="G38" s="16"/>
      <c r="H38" s="17" t="e">
        <f>#REF!</f>
        <v>#REF!</v>
      </c>
      <c r="I38" s="16"/>
      <c r="J38" s="13" t="e">
        <f>#REF!</f>
        <v>#REF!</v>
      </c>
      <c r="K38" s="13"/>
      <c r="L38" s="16"/>
      <c r="M38" s="13" t="s">
        <v>778</v>
      </c>
      <c r="N38" s="13" t="s">
        <v>752</v>
      </c>
      <c r="O38" s="18"/>
      <c r="P38" s="18"/>
      <c r="T38" s="19"/>
      <c r="U38" s="20" t="e">
        <f>#REF!</f>
        <v>#REF!</v>
      </c>
      <c r="V38" s="16"/>
      <c r="W38" s="16"/>
      <c r="X38" s="13"/>
      <c r="Y38" s="16"/>
    </row>
    <row r="39" spans="1:25">
      <c r="A39" s="13" t="s">
        <v>852</v>
      </c>
      <c r="B39" s="16" t="e">
        <f>#REF!</f>
        <v>#REF!</v>
      </c>
      <c r="C39" s="13" t="s">
        <v>757</v>
      </c>
      <c r="D39" s="13" t="s">
        <v>749</v>
      </c>
      <c r="E39" s="13" t="s">
        <v>750</v>
      </c>
      <c r="F39" s="13" t="s">
        <v>815</v>
      </c>
      <c r="G39" s="16"/>
      <c r="H39" s="17" t="e">
        <f>#REF!</f>
        <v>#REF!</v>
      </c>
      <c r="I39" s="16"/>
      <c r="J39" s="13" t="e">
        <f>#REF!</f>
        <v>#REF!</v>
      </c>
      <c r="K39" s="13"/>
      <c r="L39" s="16"/>
      <c r="M39" s="13" t="s">
        <v>778</v>
      </c>
      <c r="N39" s="13" t="s">
        <v>752</v>
      </c>
      <c r="O39" s="18"/>
      <c r="P39" s="18"/>
      <c r="T39" s="19"/>
      <c r="U39" s="20" t="e">
        <f>#REF!</f>
        <v>#REF!</v>
      </c>
      <c r="V39" s="16"/>
      <c r="W39" s="16"/>
      <c r="X39" s="13"/>
      <c r="Y39" s="16"/>
    </row>
    <row r="40" spans="1:25">
      <c r="A40" s="13" t="s">
        <v>853</v>
      </c>
      <c r="B40" s="16" t="e">
        <f>#REF!</f>
        <v>#REF!</v>
      </c>
      <c r="C40" s="13" t="s">
        <v>757</v>
      </c>
      <c r="D40" s="13" t="s">
        <v>749</v>
      </c>
      <c r="E40" s="13" t="s">
        <v>750</v>
      </c>
      <c r="F40" s="13" t="s">
        <v>815</v>
      </c>
      <c r="G40" s="16"/>
      <c r="H40" s="17" t="e">
        <f>#REF!</f>
        <v>#REF!</v>
      </c>
      <c r="I40" s="16"/>
      <c r="J40" s="13" t="e">
        <f>#REF!</f>
        <v>#REF!</v>
      </c>
      <c r="K40" s="13"/>
      <c r="L40" s="16"/>
      <c r="M40" s="13" t="s">
        <v>778</v>
      </c>
      <c r="N40" s="13" t="s">
        <v>752</v>
      </c>
      <c r="O40" s="18"/>
      <c r="P40" s="18"/>
      <c r="T40" s="19"/>
      <c r="U40" s="20" t="e">
        <f>#REF!</f>
        <v>#REF!</v>
      </c>
      <c r="V40" s="16"/>
      <c r="W40" s="16"/>
      <c r="X40" s="13"/>
      <c r="Y40" s="16"/>
    </row>
    <row r="41" spans="1:25">
      <c r="A41" s="13" t="s">
        <v>854</v>
      </c>
      <c r="B41" s="16" t="e">
        <f>#REF!</f>
        <v>#REF!</v>
      </c>
      <c r="C41" s="13" t="s">
        <v>757</v>
      </c>
      <c r="D41" s="13" t="s">
        <v>749</v>
      </c>
      <c r="E41" s="13" t="s">
        <v>750</v>
      </c>
      <c r="F41" s="13" t="s">
        <v>815</v>
      </c>
      <c r="G41" s="16"/>
      <c r="H41" s="17" t="e">
        <f>#REF!</f>
        <v>#REF!</v>
      </c>
      <c r="I41" s="16"/>
      <c r="J41" s="13" t="e">
        <f>#REF!</f>
        <v>#REF!</v>
      </c>
      <c r="K41" s="13"/>
      <c r="L41" s="16"/>
      <c r="M41" s="13" t="s">
        <v>778</v>
      </c>
      <c r="N41" s="13" t="s">
        <v>752</v>
      </c>
      <c r="O41" s="18"/>
      <c r="P41" s="18"/>
      <c r="T41" s="19"/>
      <c r="U41" s="20" t="e">
        <f>#REF!</f>
        <v>#REF!</v>
      </c>
      <c r="V41" s="16"/>
      <c r="W41" s="16"/>
      <c r="X41" s="13"/>
      <c r="Y41" s="16"/>
    </row>
    <row r="42" spans="1:25">
      <c r="A42" s="13" t="s">
        <v>855</v>
      </c>
      <c r="B42" s="16" t="e">
        <f>#REF!</f>
        <v>#REF!</v>
      </c>
      <c r="C42" s="13" t="s">
        <v>757</v>
      </c>
      <c r="D42" s="13" t="s">
        <v>749</v>
      </c>
      <c r="E42" s="13" t="s">
        <v>750</v>
      </c>
      <c r="F42" s="13" t="s">
        <v>815</v>
      </c>
      <c r="G42" s="16"/>
      <c r="H42" s="17" t="e">
        <f>#REF!</f>
        <v>#REF!</v>
      </c>
      <c r="I42" s="16"/>
      <c r="J42" s="13" t="e">
        <f>#REF!</f>
        <v>#REF!</v>
      </c>
      <c r="K42" s="13"/>
      <c r="L42" s="16"/>
      <c r="M42" s="13" t="s">
        <v>778</v>
      </c>
      <c r="N42" s="13" t="s">
        <v>752</v>
      </c>
      <c r="O42" s="18"/>
      <c r="P42" s="18"/>
      <c r="T42" s="19"/>
      <c r="U42" s="20" t="e">
        <f>#REF!</f>
        <v>#REF!</v>
      </c>
      <c r="V42" s="16"/>
      <c r="W42" s="16"/>
      <c r="X42" s="13"/>
      <c r="Y42" s="16"/>
    </row>
    <row r="43" spans="1:25">
      <c r="A43" s="13" t="s">
        <v>856</v>
      </c>
      <c r="B43" s="16" t="e">
        <f>#REF!</f>
        <v>#REF!</v>
      </c>
      <c r="C43" s="13" t="s">
        <v>757</v>
      </c>
      <c r="D43" s="13" t="s">
        <v>749</v>
      </c>
      <c r="E43" s="13" t="s">
        <v>750</v>
      </c>
      <c r="F43" s="13" t="s">
        <v>815</v>
      </c>
      <c r="G43" s="16"/>
      <c r="H43" s="17" t="e">
        <f>#REF!</f>
        <v>#REF!</v>
      </c>
      <c r="I43" s="16"/>
      <c r="J43" s="13" t="e">
        <f>#REF!</f>
        <v>#REF!</v>
      </c>
      <c r="K43" s="13"/>
      <c r="L43" s="16"/>
      <c r="M43" s="13" t="s">
        <v>778</v>
      </c>
      <c r="N43" s="13" t="s">
        <v>752</v>
      </c>
      <c r="O43" s="18"/>
      <c r="P43" s="18"/>
      <c r="T43" s="19"/>
      <c r="U43" s="20" t="e">
        <f>#REF!</f>
        <v>#REF!</v>
      </c>
      <c r="V43" s="16"/>
      <c r="W43" s="16"/>
      <c r="X43" s="13"/>
      <c r="Y43" s="16"/>
    </row>
    <row r="44" spans="1:25">
      <c r="A44" s="13" t="s">
        <v>857</v>
      </c>
      <c r="B44" s="16" t="e">
        <f>#REF!</f>
        <v>#REF!</v>
      </c>
      <c r="C44" s="13" t="s">
        <v>757</v>
      </c>
      <c r="D44" s="13" t="s">
        <v>749</v>
      </c>
      <c r="E44" s="13" t="s">
        <v>750</v>
      </c>
      <c r="F44" s="13" t="s">
        <v>815</v>
      </c>
      <c r="G44" s="16"/>
      <c r="H44" s="17" t="e">
        <f>#REF!</f>
        <v>#REF!</v>
      </c>
      <c r="I44" s="16"/>
      <c r="J44" s="13" t="e">
        <f>#REF!</f>
        <v>#REF!</v>
      </c>
      <c r="K44" s="13"/>
      <c r="L44" s="16"/>
      <c r="M44" s="13" t="s">
        <v>778</v>
      </c>
      <c r="N44" s="13" t="s">
        <v>752</v>
      </c>
      <c r="O44" s="18"/>
      <c r="P44" s="18"/>
      <c r="T44" s="19"/>
      <c r="U44" s="20" t="e">
        <f>#REF!</f>
        <v>#REF!</v>
      </c>
      <c r="V44" s="16"/>
      <c r="W44" s="16"/>
      <c r="X44" s="13"/>
      <c r="Y44" s="16"/>
    </row>
    <row r="45" spans="1:25">
      <c r="A45" s="13" t="s">
        <v>858</v>
      </c>
      <c r="B45" s="16" t="e">
        <f>#REF!</f>
        <v>#REF!</v>
      </c>
      <c r="C45" s="13" t="s">
        <v>757</v>
      </c>
      <c r="D45" s="13" t="s">
        <v>749</v>
      </c>
      <c r="E45" s="13" t="s">
        <v>750</v>
      </c>
      <c r="F45" s="13" t="s">
        <v>815</v>
      </c>
      <c r="G45" s="16"/>
      <c r="H45" s="17" t="e">
        <f>#REF!</f>
        <v>#REF!</v>
      </c>
      <c r="I45" s="16"/>
      <c r="J45" s="13" t="e">
        <f>#REF!</f>
        <v>#REF!</v>
      </c>
      <c r="K45" s="13"/>
      <c r="L45" s="16"/>
      <c r="M45" s="13" t="s">
        <v>778</v>
      </c>
      <c r="N45" s="13" t="s">
        <v>752</v>
      </c>
      <c r="O45" s="18"/>
      <c r="P45" s="18"/>
      <c r="T45" s="19"/>
      <c r="U45" s="20" t="e">
        <f>#REF!</f>
        <v>#REF!</v>
      </c>
      <c r="V45" s="16"/>
      <c r="W45" s="16"/>
      <c r="X45" s="13"/>
      <c r="Y45" s="16"/>
    </row>
    <row r="46" spans="1:25">
      <c r="A46" s="13" t="s">
        <v>859</v>
      </c>
      <c r="B46" s="16" t="e">
        <f>#REF!</f>
        <v>#REF!</v>
      </c>
      <c r="C46" s="13" t="s">
        <v>757</v>
      </c>
      <c r="D46" s="13" t="s">
        <v>749</v>
      </c>
      <c r="E46" s="13" t="s">
        <v>750</v>
      </c>
      <c r="F46" s="13" t="s">
        <v>815</v>
      </c>
      <c r="G46" s="16"/>
      <c r="H46" s="17" t="e">
        <f>#REF!</f>
        <v>#REF!</v>
      </c>
      <c r="I46" s="16"/>
      <c r="J46" s="13" t="e">
        <f>#REF!</f>
        <v>#REF!</v>
      </c>
      <c r="K46" s="13"/>
      <c r="L46" s="16"/>
      <c r="M46" s="13" t="s">
        <v>778</v>
      </c>
      <c r="N46" s="13" t="s">
        <v>752</v>
      </c>
      <c r="O46" s="18"/>
      <c r="P46" s="18"/>
      <c r="T46" s="19"/>
      <c r="U46" s="20" t="e">
        <f>#REF!</f>
        <v>#REF!</v>
      </c>
      <c r="V46" s="16"/>
      <c r="W46" s="16"/>
      <c r="X46" s="13"/>
      <c r="Y46" s="16"/>
    </row>
    <row r="47" spans="1:25">
      <c r="A47" s="13" t="s">
        <v>860</v>
      </c>
      <c r="B47" s="16" t="e">
        <f>#REF!</f>
        <v>#REF!</v>
      </c>
      <c r="C47" s="13" t="s">
        <v>757</v>
      </c>
      <c r="D47" s="13" t="s">
        <v>749</v>
      </c>
      <c r="E47" s="13" t="s">
        <v>750</v>
      </c>
      <c r="F47" s="13" t="s">
        <v>815</v>
      </c>
      <c r="G47" s="16"/>
      <c r="H47" s="17" t="e">
        <f>#REF!</f>
        <v>#REF!</v>
      </c>
      <c r="I47" s="16"/>
      <c r="J47" s="13" t="e">
        <f>#REF!</f>
        <v>#REF!</v>
      </c>
      <c r="K47" s="13"/>
      <c r="L47" s="16"/>
      <c r="M47" s="13" t="s">
        <v>778</v>
      </c>
      <c r="N47" s="13" t="s">
        <v>752</v>
      </c>
      <c r="O47" s="18"/>
      <c r="P47" s="18"/>
      <c r="T47" s="19"/>
      <c r="U47" s="20" t="e">
        <f>#REF!</f>
        <v>#REF!</v>
      </c>
      <c r="V47" s="16"/>
      <c r="W47" s="16"/>
      <c r="X47" s="13"/>
      <c r="Y47" s="16"/>
    </row>
    <row r="48" spans="1:25">
      <c r="A48" s="13" t="s">
        <v>861</v>
      </c>
      <c r="B48" s="16" t="e">
        <f>#REF!</f>
        <v>#REF!</v>
      </c>
      <c r="C48" s="13" t="s">
        <v>757</v>
      </c>
      <c r="D48" s="13" t="s">
        <v>749</v>
      </c>
      <c r="E48" s="13" t="s">
        <v>750</v>
      </c>
      <c r="F48" s="13" t="s">
        <v>815</v>
      </c>
      <c r="G48" s="16"/>
      <c r="H48" s="17" t="e">
        <f>#REF!</f>
        <v>#REF!</v>
      </c>
      <c r="I48" s="16"/>
      <c r="J48" s="13" t="e">
        <f>#REF!</f>
        <v>#REF!</v>
      </c>
      <c r="K48" s="13"/>
      <c r="L48" s="16"/>
      <c r="M48" s="13" t="s">
        <v>778</v>
      </c>
      <c r="N48" s="13" t="s">
        <v>752</v>
      </c>
      <c r="O48" s="18"/>
      <c r="P48" s="18"/>
      <c r="T48" s="19"/>
      <c r="U48" s="20" t="e">
        <f>#REF!</f>
        <v>#REF!</v>
      </c>
      <c r="V48" s="16"/>
      <c r="W48" s="16"/>
      <c r="X48" s="13"/>
      <c r="Y48" s="16"/>
    </row>
    <row r="49" spans="1:25">
      <c r="A49" s="13" t="s">
        <v>862</v>
      </c>
      <c r="B49" s="16" t="e">
        <f>#REF!</f>
        <v>#REF!</v>
      </c>
      <c r="C49" s="13" t="s">
        <v>757</v>
      </c>
      <c r="D49" s="13" t="s">
        <v>749</v>
      </c>
      <c r="E49" s="13" t="s">
        <v>750</v>
      </c>
      <c r="F49" s="13" t="s">
        <v>815</v>
      </c>
      <c r="G49" s="16"/>
      <c r="H49" s="17" t="e">
        <f>#REF!</f>
        <v>#REF!</v>
      </c>
      <c r="I49" s="16"/>
      <c r="J49" s="13" t="e">
        <f>#REF!</f>
        <v>#REF!</v>
      </c>
      <c r="K49" s="13"/>
      <c r="L49" s="16"/>
      <c r="M49" s="13" t="s">
        <v>778</v>
      </c>
      <c r="N49" s="13" t="s">
        <v>752</v>
      </c>
      <c r="O49" s="18"/>
      <c r="P49" s="18"/>
      <c r="T49" s="19"/>
      <c r="U49" s="20" t="e">
        <f>#REF!</f>
        <v>#REF!</v>
      </c>
      <c r="V49" s="16"/>
      <c r="W49" s="16"/>
      <c r="X49" s="13"/>
      <c r="Y49" s="16"/>
    </row>
    <row r="50" spans="1:25">
      <c r="A50" s="13" t="s">
        <v>863</v>
      </c>
      <c r="B50" s="16" t="e">
        <f>#REF!</f>
        <v>#REF!</v>
      </c>
      <c r="C50" s="13" t="s">
        <v>757</v>
      </c>
      <c r="D50" s="13" t="s">
        <v>749</v>
      </c>
      <c r="E50" s="13" t="s">
        <v>750</v>
      </c>
      <c r="F50" s="13" t="s">
        <v>815</v>
      </c>
      <c r="G50" s="16"/>
      <c r="H50" s="17" t="e">
        <f>#REF!</f>
        <v>#REF!</v>
      </c>
      <c r="I50" s="16"/>
      <c r="J50" s="13" t="e">
        <f>#REF!</f>
        <v>#REF!</v>
      </c>
      <c r="K50" s="13"/>
      <c r="L50" s="16"/>
      <c r="M50" s="13" t="s">
        <v>778</v>
      </c>
      <c r="N50" s="13" t="s">
        <v>752</v>
      </c>
      <c r="O50" s="18"/>
      <c r="P50" s="18"/>
      <c r="T50" s="19"/>
      <c r="U50" s="20" t="e">
        <f>#REF!</f>
        <v>#REF!</v>
      </c>
      <c r="V50" s="16"/>
      <c r="W50" s="16"/>
      <c r="X50" s="13"/>
      <c r="Y50" s="16"/>
    </row>
    <row r="51" spans="1:25">
      <c r="A51" s="13" t="s">
        <v>864</v>
      </c>
      <c r="B51" s="16" t="e">
        <f>#REF!</f>
        <v>#REF!</v>
      </c>
      <c r="C51" s="13" t="s">
        <v>757</v>
      </c>
      <c r="D51" s="13" t="s">
        <v>749</v>
      </c>
      <c r="E51" s="13" t="s">
        <v>750</v>
      </c>
      <c r="F51" s="13" t="s">
        <v>815</v>
      </c>
      <c r="G51" s="16"/>
      <c r="H51" s="17" t="e">
        <f>#REF!</f>
        <v>#REF!</v>
      </c>
      <c r="I51" s="16"/>
      <c r="J51" s="13" t="e">
        <f>#REF!</f>
        <v>#REF!</v>
      </c>
      <c r="K51" s="13"/>
      <c r="L51" s="16"/>
      <c r="M51" s="13" t="s">
        <v>778</v>
      </c>
      <c r="N51" s="13" t="s">
        <v>752</v>
      </c>
      <c r="O51" s="18"/>
      <c r="P51" s="18"/>
      <c r="T51" s="19"/>
      <c r="U51" s="20" t="e">
        <f>#REF!</f>
        <v>#REF!</v>
      </c>
      <c r="V51" s="16"/>
      <c r="W51" s="16"/>
      <c r="X51" s="13"/>
      <c r="Y51" s="16"/>
    </row>
    <row r="52" spans="1:25">
      <c r="A52" s="13" t="s">
        <v>865</v>
      </c>
      <c r="B52" s="16" t="e">
        <f>#REF!</f>
        <v>#REF!</v>
      </c>
      <c r="C52" s="13" t="s">
        <v>757</v>
      </c>
      <c r="D52" s="13" t="s">
        <v>749</v>
      </c>
      <c r="E52" s="13" t="s">
        <v>750</v>
      </c>
      <c r="F52" s="13" t="s">
        <v>815</v>
      </c>
      <c r="G52" s="16"/>
      <c r="H52" s="17" t="e">
        <f>#REF!</f>
        <v>#REF!</v>
      </c>
      <c r="I52" s="16"/>
      <c r="J52" s="13" t="e">
        <f>#REF!</f>
        <v>#REF!</v>
      </c>
      <c r="K52" s="13"/>
      <c r="L52" s="16"/>
      <c r="M52" s="13" t="s">
        <v>778</v>
      </c>
      <c r="N52" s="13" t="s">
        <v>752</v>
      </c>
      <c r="O52" s="18"/>
      <c r="P52" s="18"/>
      <c r="T52" s="19"/>
      <c r="U52" s="20" t="e">
        <f>#REF!</f>
        <v>#REF!</v>
      </c>
      <c r="V52" s="16"/>
      <c r="W52" s="16"/>
      <c r="X52" s="13"/>
      <c r="Y52" s="16"/>
    </row>
    <row r="53" spans="1:25">
      <c r="A53" s="13" t="s">
        <v>866</v>
      </c>
      <c r="B53" s="16" t="e">
        <f>#REF!</f>
        <v>#REF!</v>
      </c>
      <c r="C53" s="13" t="s">
        <v>757</v>
      </c>
      <c r="D53" s="13" t="s">
        <v>749</v>
      </c>
      <c r="E53" s="13" t="s">
        <v>750</v>
      </c>
      <c r="F53" s="13" t="s">
        <v>815</v>
      </c>
      <c r="G53" s="16"/>
      <c r="H53" s="17" t="e">
        <f>#REF!</f>
        <v>#REF!</v>
      </c>
      <c r="I53" s="16"/>
      <c r="J53" s="13" t="e">
        <f>#REF!</f>
        <v>#REF!</v>
      </c>
      <c r="K53" s="13"/>
      <c r="L53" s="16"/>
      <c r="M53" s="13" t="s">
        <v>778</v>
      </c>
      <c r="N53" s="13" t="s">
        <v>752</v>
      </c>
      <c r="O53" s="18"/>
      <c r="P53" s="18"/>
      <c r="T53" s="19"/>
      <c r="U53" s="20" t="e">
        <f>#REF!</f>
        <v>#REF!</v>
      </c>
      <c r="V53" s="16"/>
      <c r="W53" s="16"/>
      <c r="X53" s="13"/>
      <c r="Y53" s="16"/>
    </row>
    <row r="54" spans="1:25">
      <c r="A54" s="13" t="s">
        <v>867</v>
      </c>
      <c r="B54" s="16" t="e">
        <f>#REF!</f>
        <v>#REF!</v>
      </c>
      <c r="C54" s="13" t="s">
        <v>757</v>
      </c>
      <c r="D54" s="13" t="s">
        <v>749</v>
      </c>
      <c r="E54" s="13" t="s">
        <v>750</v>
      </c>
      <c r="F54" s="13" t="s">
        <v>815</v>
      </c>
      <c r="G54" s="16"/>
      <c r="H54" s="17" t="e">
        <f>#REF!</f>
        <v>#REF!</v>
      </c>
      <c r="I54" s="16"/>
      <c r="J54" s="13" t="e">
        <f>#REF!</f>
        <v>#REF!</v>
      </c>
      <c r="K54" s="13"/>
      <c r="L54" s="16"/>
      <c r="M54" s="13" t="s">
        <v>778</v>
      </c>
      <c r="N54" s="13" t="s">
        <v>752</v>
      </c>
      <c r="O54" s="18"/>
      <c r="P54" s="18"/>
      <c r="T54" s="19"/>
      <c r="U54" s="20" t="e">
        <f>#REF!</f>
        <v>#REF!</v>
      </c>
      <c r="V54" s="16"/>
      <c r="W54" s="16"/>
      <c r="X54" s="13"/>
      <c r="Y54" s="16"/>
    </row>
    <row r="55" spans="1:25">
      <c r="A55" s="13" t="s">
        <v>868</v>
      </c>
      <c r="B55" s="16" t="e">
        <f>#REF!</f>
        <v>#REF!</v>
      </c>
      <c r="C55" s="13" t="s">
        <v>757</v>
      </c>
      <c r="D55" s="13" t="s">
        <v>749</v>
      </c>
      <c r="E55" s="13" t="s">
        <v>750</v>
      </c>
      <c r="F55" s="13" t="s">
        <v>815</v>
      </c>
      <c r="G55" s="16"/>
      <c r="H55" s="17" t="e">
        <f>#REF!</f>
        <v>#REF!</v>
      </c>
      <c r="I55" s="16"/>
      <c r="J55" s="13" t="e">
        <f>#REF!</f>
        <v>#REF!</v>
      </c>
      <c r="K55" s="13"/>
      <c r="L55" s="16"/>
      <c r="M55" s="13" t="s">
        <v>778</v>
      </c>
      <c r="N55" s="13" t="s">
        <v>752</v>
      </c>
      <c r="O55" s="18"/>
      <c r="P55" s="18"/>
      <c r="T55" s="19"/>
      <c r="U55" s="20" t="e">
        <f>#REF!</f>
        <v>#REF!</v>
      </c>
      <c r="V55" s="16"/>
      <c r="W55" s="16"/>
      <c r="X55" s="13"/>
      <c r="Y55" s="16"/>
    </row>
    <row r="56" spans="1:25">
      <c r="A56" s="13" t="s">
        <v>869</v>
      </c>
      <c r="B56" s="16" t="e">
        <f>#REF!</f>
        <v>#REF!</v>
      </c>
      <c r="C56" s="13" t="s">
        <v>757</v>
      </c>
      <c r="D56" s="13" t="s">
        <v>749</v>
      </c>
      <c r="E56" s="13" t="s">
        <v>750</v>
      </c>
      <c r="F56" s="13" t="s">
        <v>815</v>
      </c>
      <c r="G56" s="16"/>
      <c r="H56" s="17" t="e">
        <f>#REF!</f>
        <v>#REF!</v>
      </c>
      <c r="I56" s="16"/>
      <c r="J56" s="13" t="e">
        <f>#REF!</f>
        <v>#REF!</v>
      </c>
      <c r="K56" s="13"/>
      <c r="L56" s="16"/>
      <c r="M56" s="13" t="s">
        <v>778</v>
      </c>
      <c r="N56" s="13" t="s">
        <v>752</v>
      </c>
      <c r="O56" s="18"/>
      <c r="P56" s="18"/>
      <c r="T56" s="19"/>
      <c r="U56" s="20" t="e">
        <f>#REF!</f>
        <v>#REF!</v>
      </c>
      <c r="V56" s="16"/>
      <c r="W56" s="16"/>
      <c r="X56" s="13"/>
      <c r="Y56" s="16"/>
    </row>
    <row r="57" spans="1:25">
      <c r="A57" s="13" t="s">
        <v>870</v>
      </c>
      <c r="B57" s="16" t="e">
        <f>#REF!</f>
        <v>#REF!</v>
      </c>
      <c r="C57" s="13" t="s">
        <v>757</v>
      </c>
      <c r="D57" s="13" t="s">
        <v>749</v>
      </c>
      <c r="E57" s="13" t="s">
        <v>750</v>
      </c>
      <c r="F57" s="13" t="s">
        <v>815</v>
      </c>
      <c r="G57" s="16"/>
      <c r="H57" s="17" t="e">
        <f>#REF!</f>
        <v>#REF!</v>
      </c>
      <c r="I57" s="16"/>
      <c r="J57" s="13" t="e">
        <f>#REF!</f>
        <v>#REF!</v>
      </c>
      <c r="K57" s="13"/>
      <c r="L57" s="16"/>
      <c r="M57" s="13" t="s">
        <v>778</v>
      </c>
      <c r="N57" s="13" t="s">
        <v>752</v>
      </c>
      <c r="O57" s="18"/>
      <c r="P57" s="18"/>
      <c r="T57" s="19"/>
      <c r="U57" s="20" t="e">
        <f>#REF!</f>
        <v>#REF!</v>
      </c>
      <c r="V57" s="16"/>
      <c r="W57" s="16"/>
      <c r="X57" s="13"/>
      <c r="Y57" s="16"/>
    </row>
    <row r="58" spans="1:25">
      <c r="A58" s="13" t="s">
        <v>871</v>
      </c>
      <c r="B58" s="16" t="e">
        <f>#REF!</f>
        <v>#REF!</v>
      </c>
      <c r="C58" s="13" t="s">
        <v>757</v>
      </c>
      <c r="D58" s="13" t="s">
        <v>749</v>
      </c>
      <c r="E58" s="13" t="s">
        <v>750</v>
      </c>
      <c r="F58" s="13" t="s">
        <v>815</v>
      </c>
      <c r="G58" s="16"/>
      <c r="H58" s="17" t="e">
        <f>#REF!</f>
        <v>#REF!</v>
      </c>
      <c r="I58" s="16"/>
      <c r="J58" s="13" t="e">
        <f>#REF!</f>
        <v>#REF!</v>
      </c>
      <c r="K58" s="13"/>
      <c r="L58" s="16"/>
      <c r="M58" s="13" t="s">
        <v>778</v>
      </c>
      <c r="N58" s="13" t="s">
        <v>752</v>
      </c>
      <c r="O58" s="18"/>
      <c r="P58" s="18"/>
      <c r="T58" s="19"/>
      <c r="U58" s="20" t="e">
        <f>#REF!</f>
        <v>#REF!</v>
      </c>
      <c r="V58" s="16"/>
      <c r="W58" s="16"/>
      <c r="X58" s="13"/>
      <c r="Y58" s="16"/>
    </row>
    <row r="59" spans="1:25">
      <c r="A59" s="13" t="s">
        <v>872</v>
      </c>
      <c r="B59" s="16" t="e">
        <f>#REF!</f>
        <v>#REF!</v>
      </c>
      <c r="C59" s="13" t="s">
        <v>757</v>
      </c>
      <c r="D59" s="13" t="s">
        <v>749</v>
      </c>
      <c r="E59" s="13" t="s">
        <v>750</v>
      </c>
      <c r="F59" s="13" t="s">
        <v>815</v>
      </c>
      <c r="G59" s="16"/>
      <c r="H59" s="17" t="e">
        <f>#REF!</f>
        <v>#REF!</v>
      </c>
      <c r="I59" s="16"/>
      <c r="J59" s="13" t="e">
        <f>#REF!</f>
        <v>#REF!</v>
      </c>
      <c r="K59" s="13"/>
      <c r="L59" s="16"/>
      <c r="M59" s="13" t="s">
        <v>778</v>
      </c>
      <c r="N59" s="13" t="s">
        <v>752</v>
      </c>
      <c r="O59" s="18"/>
      <c r="P59" s="18"/>
      <c r="T59" s="19"/>
      <c r="U59" s="20" t="e">
        <f>#REF!</f>
        <v>#REF!</v>
      </c>
      <c r="V59" s="16"/>
      <c r="W59" s="16"/>
      <c r="X59" s="13"/>
      <c r="Y59" s="16"/>
    </row>
    <row r="60" spans="1:25">
      <c r="A60" s="13" t="s">
        <v>873</v>
      </c>
      <c r="B60" s="16" t="e">
        <f>#REF!</f>
        <v>#REF!</v>
      </c>
      <c r="C60" s="13" t="s">
        <v>757</v>
      </c>
      <c r="D60" s="13" t="s">
        <v>749</v>
      </c>
      <c r="E60" s="13" t="s">
        <v>750</v>
      </c>
      <c r="F60" s="13" t="s">
        <v>815</v>
      </c>
      <c r="G60" s="16"/>
      <c r="H60" s="17" t="e">
        <f>#REF!</f>
        <v>#REF!</v>
      </c>
      <c r="I60" s="16"/>
      <c r="J60" s="13" t="e">
        <f>#REF!</f>
        <v>#REF!</v>
      </c>
      <c r="K60" s="13"/>
      <c r="L60" s="16"/>
      <c r="M60" s="13" t="s">
        <v>778</v>
      </c>
      <c r="N60" s="13" t="s">
        <v>752</v>
      </c>
      <c r="O60" s="18"/>
      <c r="P60" s="18"/>
      <c r="T60" s="19"/>
      <c r="U60" s="20" t="e">
        <f>#REF!</f>
        <v>#REF!</v>
      </c>
      <c r="V60" s="16"/>
      <c r="W60" s="16"/>
      <c r="X60" s="13"/>
      <c r="Y60" s="16"/>
    </row>
    <row r="61" spans="1:25">
      <c r="A61" s="13" t="s">
        <v>874</v>
      </c>
      <c r="B61" s="16" t="e">
        <f>#REF!</f>
        <v>#REF!</v>
      </c>
      <c r="C61" s="13" t="s">
        <v>757</v>
      </c>
      <c r="D61" s="13" t="s">
        <v>749</v>
      </c>
      <c r="E61" s="13" t="s">
        <v>750</v>
      </c>
      <c r="F61" s="13" t="s">
        <v>815</v>
      </c>
      <c r="G61" s="16"/>
      <c r="H61" s="17" t="e">
        <f>#REF!</f>
        <v>#REF!</v>
      </c>
      <c r="I61" s="16"/>
      <c r="J61" s="13" t="e">
        <f>#REF!</f>
        <v>#REF!</v>
      </c>
      <c r="K61" s="13"/>
      <c r="L61" s="16"/>
      <c r="M61" s="13" t="s">
        <v>778</v>
      </c>
      <c r="N61" s="13" t="s">
        <v>752</v>
      </c>
      <c r="O61" s="18"/>
      <c r="P61" s="18"/>
      <c r="T61" s="19"/>
      <c r="U61" s="20" t="e">
        <f>#REF!</f>
        <v>#REF!</v>
      </c>
      <c r="V61" s="16"/>
      <c r="W61" s="16"/>
      <c r="X61" s="13"/>
      <c r="Y61" s="16"/>
    </row>
    <row r="62" spans="1:25">
      <c r="A62" s="13" t="s">
        <v>875</v>
      </c>
      <c r="B62" s="16" t="e">
        <f>#REF!</f>
        <v>#REF!</v>
      </c>
      <c r="C62" s="13" t="s">
        <v>757</v>
      </c>
      <c r="D62" s="13" t="s">
        <v>749</v>
      </c>
      <c r="E62" s="13" t="s">
        <v>750</v>
      </c>
      <c r="F62" s="13" t="s">
        <v>815</v>
      </c>
      <c r="G62" s="16"/>
      <c r="H62" s="17" t="e">
        <f>#REF!</f>
        <v>#REF!</v>
      </c>
      <c r="I62" s="16"/>
      <c r="J62" s="13" t="e">
        <f>#REF!</f>
        <v>#REF!</v>
      </c>
      <c r="K62" s="13"/>
      <c r="L62" s="16"/>
      <c r="M62" s="13" t="s">
        <v>778</v>
      </c>
      <c r="N62" s="13" t="s">
        <v>752</v>
      </c>
      <c r="O62" s="18"/>
      <c r="P62" s="18"/>
      <c r="T62" s="19"/>
      <c r="U62" s="20" t="e">
        <f>#REF!</f>
        <v>#REF!</v>
      </c>
      <c r="V62" s="16"/>
      <c r="W62" s="16"/>
      <c r="X62" s="13"/>
      <c r="Y62" s="16"/>
    </row>
    <row r="63" spans="1:25">
      <c r="A63" s="13" t="s">
        <v>876</v>
      </c>
      <c r="B63" s="16" t="e">
        <f>#REF!</f>
        <v>#REF!</v>
      </c>
      <c r="C63" s="13" t="s">
        <v>757</v>
      </c>
      <c r="D63" s="13" t="s">
        <v>749</v>
      </c>
      <c r="E63" s="13" t="s">
        <v>750</v>
      </c>
      <c r="F63" s="13" t="s">
        <v>815</v>
      </c>
      <c r="G63" s="16"/>
      <c r="H63" s="17" t="e">
        <f>#REF!</f>
        <v>#REF!</v>
      </c>
      <c r="I63" s="16"/>
      <c r="J63" s="13" t="e">
        <f>#REF!</f>
        <v>#REF!</v>
      </c>
      <c r="K63" s="13"/>
      <c r="L63" s="16"/>
      <c r="M63" s="13" t="s">
        <v>778</v>
      </c>
      <c r="N63" s="13" t="s">
        <v>752</v>
      </c>
      <c r="O63" s="18"/>
      <c r="P63" s="18"/>
      <c r="T63" s="19"/>
      <c r="U63" s="20" t="e">
        <f>#REF!</f>
        <v>#REF!</v>
      </c>
      <c r="V63" s="16"/>
      <c r="W63" s="16"/>
      <c r="X63" s="13"/>
      <c r="Y63" s="16"/>
    </row>
    <row r="64" spans="1:25">
      <c r="A64" s="13" t="s">
        <v>877</v>
      </c>
      <c r="B64" s="16" t="e">
        <f>#REF!</f>
        <v>#REF!</v>
      </c>
      <c r="C64" s="13" t="s">
        <v>757</v>
      </c>
      <c r="D64" s="13" t="s">
        <v>749</v>
      </c>
      <c r="E64" s="13" t="s">
        <v>750</v>
      </c>
      <c r="F64" s="13" t="s">
        <v>815</v>
      </c>
      <c r="G64" s="16"/>
      <c r="H64" s="17" t="e">
        <f>#REF!</f>
        <v>#REF!</v>
      </c>
      <c r="I64" s="16"/>
      <c r="J64" s="13" t="e">
        <f>#REF!</f>
        <v>#REF!</v>
      </c>
      <c r="K64" s="13"/>
      <c r="L64" s="16"/>
      <c r="M64" s="13" t="s">
        <v>778</v>
      </c>
      <c r="N64" s="13" t="s">
        <v>752</v>
      </c>
      <c r="O64" s="18"/>
      <c r="P64" s="18"/>
      <c r="T64" s="19"/>
      <c r="U64" s="20" t="e">
        <f>#REF!</f>
        <v>#REF!</v>
      </c>
      <c r="V64" s="16"/>
      <c r="W64" s="16"/>
      <c r="X64" s="13"/>
      <c r="Y64" s="16"/>
    </row>
    <row r="65" spans="1:25">
      <c r="A65" s="13" t="s">
        <v>878</v>
      </c>
      <c r="B65" s="16" t="e">
        <f>#REF!</f>
        <v>#REF!</v>
      </c>
      <c r="C65" s="13" t="s">
        <v>757</v>
      </c>
      <c r="D65" s="13" t="s">
        <v>749</v>
      </c>
      <c r="E65" s="13" t="s">
        <v>750</v>
      </c>
      <c r="F65" s="13" t="s">
        <v>815</v>
      </c>
      <c r="G65" s="16"/>
      <c r="H65" s="17" t="e">
        <f>#REF!</f>
        <v>#REF!</v>
      </c>
      <c r="I65" s="16"/>
      <c r="J65" s="13" t="e">
        <f>#REF!</f>
        <v>#REF!</v>
      </c>
      <c r="K65" s="13"/>
      <c r="L65" s="16"/>
      <c r="M65" s="13" t="s">
        <v>778</v>
      </c>
      <c r="N65" s="13" t="s">
        <v>752</v>
      </c>
      <c r="O65" s="18"/>
      <c r="P65" s="22"/>
      <c r="T65" s="19"/>
      <c r="U65" s="20" t="e">
        <f>#REF!</f>
        <v>#REF!</v>
      </c>
      <c r="V65" s="16"/>
      <c r="W65" s="16"/>
      <c r="X65" s="13"/>
      <c r="Y65" s="16"/>
    </row>
    <row r="66" spans="1:25">
      <c r="A66" s="13" t="s">
        <v>879</v>
      </c>
      <c r="B66" s="16" t="e">
        <f>#REF!</f>
        <v>#REF!</v>
      </c>
      <c r="C66" s="13" t="s">
        <v>757</v>
      </c>
      <c r="D66" s="13" t="s">
        <v>749</v>
      </c>
      <c r="E66" s="13" t="s">
        <v>750</v>
      </c>
      <c r="F66" s="13" t="s">
        <v>815</v>
      </c>
      <c r="G66" s="16"/>
      <c r="H66" s="17" t="e">
        <f>#REF!</f>
        <v>#REF!</v>
      </c>
      <c r="I66" s="16"/>
      <c r="J66" s="13" t="e">
        <f>#REF!</f>
        <v>#REF!</v>
      </c>
      <c r="K66" s="13"/>
      <c r="L66" s="16"/>
      <c r="M66" s="13" t="s">
        <v>778</v>
      </c>
      <c r="N66" s="13" t="s">
        <v>752</v>
      </c>
      <c r="O66" s="18"/>
      <c r="P66" s="18"/>
      <c r="T66" s="19"/>
      <c r="U66" s="20" t="e">
        <f>#REF!</f>
        <v>#REF!</v>
      </c>
      <c r="V66" s="16"/>
      <c r="W66" s="16"/>
      <c r="X66" s="13"/>
      <c r="Y66" s="16"/>
    </row>
    <row r="67" spans="1:25">
      <c r="A67" s="13" t="s">
        <v>880</v>
      </c>
      <c r="B67" s="16" t="e">
        <f>#REF!</f>
        <v>#REF!</v>
      </c>
      <c r="C67" s="13" t="s">
        <v>757</v>
      </c>
      <c r="D67" s="13" t="s">
        <v>749</v>
      </c>
      <c r="E67" s="13" t="s">
        <v>750</v>
      </c>
      <c r="F67" s="13" t="s">
        <v>815</v>
      </c>
      <c r="G67" s="16"/>
      <c r="H67" s="17" t="e">
        <f>#REF!</f>
        <v>#REF!</v>
      </c>
      <c r="I67" s="16"/>
      <c r="J67" s="13" t="e">
        <f>#REF!</f>
        <v>#REF!</v>
      </c>
      <c r="K67" s="13"/>
      <c r="L67" s="16"/>
      <c r="M67" s="13" t="s">
        <v>778</v>
      </c>
      <c r="N67" s="13" t="s">
        <v>752</v>
      </c>
      <c r="O67" s="18"/>
      <c r="P67" s="18"/>
      <c r="T67" s="19"/>
      <c r="U67" s="20" t="e">
        <f>#REF!</f>
        <v>#REF!</v>
      </c>
      <c r="V67" s="16"/>
      <c r="W67" s="16"/>
      <c r="X67" s="13"/>
      <c r="Y67" s="16"/>
    </row>
    <row r="68" spans="1:25">
      <c r="A68" s="13" t="s">
        <v>881</v>
      </c>
      <c r="B68" s="16" t="e">
        <f>#REF!</f>
        <v>#REF!</v>
      </c>
      <c r="C68" s="13" t="s">
        <v>757</v>
      </c>
      <c r="D68" s="13" t="s">
        <v>749</v>
      </c>
      <c r="E68" s="13" t="s">
        <v>750</v>
      </c>
      <c r="F68" s="13" t="s">
        <v>815</v>
      </c>
      <c r="G68" s="16"/>
      <c r="H68" s="17" t="e">
        <f>#REF!</f>
        <v>#REF!</v>
      </c>
      <c r="I68" s="16"/>
      <c r="J68" s="13" t="e">
        <f>#REF!</f>
        <v>#REF!</v>
      </c>
      <c r="K68" s="13"/>
      <c r="L68" s="16"/>
      <c r="M68" s="13" t="s">
        <v>778</v>
      </c>
      <c r="N68" s="13" t="s">
        <v>752</v>
      </c>
      <c r="O68" s="18"/>
      <c r="P68" s="18"/>
      <c r="T68" s="19"/>
      <c r="U68" s="20" t="e">
        <f>#REF!</f>
        <v>#REF!</v>
      </c>
      <c r="V68" s="16"/>
      <c r="W68" s="16"/>
      <c r="X68" s="13"/>
      <c r="Y68" s="16"/>
    </row>
    <row r="69" spans="1:25">
      <c r="A69" s="13" t="s">
        <v>882</v>
      </c>
      <c r="B69" s="16" t="e">
        <f>#REF!</f>
        <v>#REF!</v>
      </c>
      <c r="C69" s="13" t="s">
        <v>757</v>
      </c>
      <c r="D69" s="13" t="s">
        <v>749</v>
      </c>
      <c r="E69" s="13" t="s">
        <v>750</v>
      </c>
      <c r="F69" s="13" t="s">
        <v>815</v>
      </c>
      <c r="G69" s="16"/>
      <c r="H69" s="17" t="e">
        <f>#REF!</f>
        <v>#REF!</v>
      </c>
      <c r="I69" s="16"/>
      <c r="J69" s="13" t="e">
        <f>#REF!</f>
        <v>#REF!</v>
      </c>
      <c r="K69" s="13"/>
      <c r="L69" s="16"/>
      <c r="M69" s="13" t="s">
        <v>778</v>
      </c>
      <c r="N69" s="13" t="s">
        <v>752</v>
      </c>
      <c r="O69" s="18"/>
      <c r="P69" s="18"/>
      <c r="T69" s="19"/>
      <c r="U69" s="20" t="e">
        <f>#REF!</f>
        <v>#REF!</v>
      </c>
      <c r="V69" s="16"/>
      <c r="W69" s="16"/>
      <c r="X69" s="13"/>
      <c r="Y69" s="16"/>
    </row>
    <row r="70" spans="1:25">
      <c r="A70" s="13" t="s">
        <v>883</v>
      </c>
      <c r="B70" s="16" t="e">
        <f>#REF!</f>
        <v>#REF!</v>
      </c>
      <c r="C70" s="13" t="s">
        <v>757</v>
      </c>
      <c r="D70" s="13" t="s">
        <v>749</v>
      </c>
      <c r="E70" s="13" t="s">
        <v>750</v>
      </c>
      <c r="F70" s="13" t="s">
        <v>815</v>
      </c>
      <c r="G70" s="16"/>
      <c r="H70" s="17" t="e">
        <f>#REF!</f>
        <v>#REF!</v>
      </c>
      <c r="I70" s="16"/>
      <c r="J70" s="13" t="e">
        <f>#REF!</f>
        <v>#REF!</v>
      </c>
      <c r="K70" s="13"/>
      <c r="L70" s="16"/>
      <c r="M70" s="13" t="s">
        <v>778</v>
      </c>
      <c r="N70" s="13" t="s">
        <v>752</v>
      </c>
      <c r="O70" s="18"/>
      <c r="P70" s="18"/>
      <c r="T70" s="19"/>
      <c r="U70" s="20" t="e">
        <f>#REF!</f>
        <v>#REF!</v>
      </c>
      <c r="V70" s="16"/>
      <c r="W70" s="16"/>
      <c r="X70" s="13"/>
      <c r="Y70" s="16"/>
    </row>
    <row r="71" spans="1:25">
      <c r="A71" s="13" t="s">
        <v>884</v>
      </c>
      <c r="B71" s="16" t="e">
        <f>#REF!</f>
        <v>#REF!</v>
      </c>
      <c r="C71" s="13" t="s">
        <v>757</v>
      </c>
      <c r="D71" s="13" t="s">
        <v>749</v>
      </c>
      <c r="E71" s="13" t="s">
        <v>750</v>
      </c>
      <c r="F71" s="13" t="s">
        <v>815</v>
      </c>
      <c r="G71" s="16"/>
      <c r="H71" s="17" t="e">
        <f>#REF!</f>
        <v>#REF!</v>
      </c>
      <c r="I71" s="16"/>
      <c r="J71" s="13" t="e">
        <f>#REF!</f>
        <v>#REF!</v>
      </c>
      <c r="K71" s="13"/>
      <c r="L71" s="16"/>
      <c r="M71" s="13" t="s">
        <v>778</v>
      </c>
      <c r="N71" s="13" t="s">
        <v>752</v>
      </c>
      <c r="O71" s="18"/>
      <c r="P71" s="18"/>
      <c r="T71" s="19"/>
      <c r="U71" s="20" t="e">
        <f>#REF!</f>
        <v>#REF!</v>
      </c>
      <c r="V71" s="16"/>
      <c r="W71" s="16"/>
      <c r="X71" s="13"/>
      <c r="Y71" s="16"/>
    </row>
    <row r="72" spans="1:25">
      <c r="A72" s="13" t="s">
        <v>885</v>
      </c>
      <c r="B72" s="16" t="e">
        <f>#REF!</f>
        <v>#REF!</v>
      </c>
      <c r="C72" s="13" t="s">
        <v>757</v>
      </c>
      <c r="D72" s="13" t="s">
        <v>749</v>
      </c>
      <c r="E72" s="13" t="s">
        <v>750</v>
      </c>
      <c r="F72" s="13" t="s">
        <v>815</v>
      </c>
      <c r="G72" s="16"/>
      <c r="H72" s="17" t="e">
        <f>#REF!</f>
        <v>#REF!</v>
      </c>
      <c r="I72" s="16"/>
      <c r="J72" s="13" t="e">
        <f>#REF!</f>
        <v>#REF!</v>
      </c>
      <c r="K72" s="13"/>
      <c r="L72" s="16"/>
      <c r="M72" s="13" t="s">
        <v>778</v>
      </c>
      <c r="N72" s="13" t="s">
        <v>752</v>
      </c>
      <c r="O72" s="18"/>
      <c r="P72" s="18"/>
      <c r="T72" s="19"/>
      <c r="U72" s="20" t="e">
        <f>#REF!</f>
        <v>#REF!</v>
      </c>
      <c r="V72" s="16"/>
      <c r="W72" s="16"/>
      <c r="X72" s="13"/>
      <c r="Y72" s="16"/>
    </row>
    <row r="73" spans="1:25">
      <c r="A73" s="13" t="s">
        <v>886</v>
      </c>
      <c r="B73" s="16" t="e">
        <f>#REF!</f>
        <v>#REF!</v>
      </c>
      <c r="C73" s="13" t="s">
        <v>757</v>
      </c>
      <c r="D73" s="13" t="s">
        <v>749</v>
      </c>
      <c r="E73" s="13" t="s">
        <v>750</v>
      </c>
      <c r="F73" s="13" t="s">
        <v>815</v>
      </c>
      <c r="G73" s="16"/>
      <c r="H73" s="17" t="e">
        <f>#REF!</f>
        <v>#REF!</v>
      </c>
      <c r="I73" s="16"/>
      <c r="J73" s="13" t="e">
        <f>#REF!</f>
        <v>#REF!</v>
      </c>
      <c r="K73" s="13"/>
      <c r="L73" s="16"/>
      <c r="M73" s="13" t="s">
        <v>778</v>
      </c>
      <c r="N73" s="13" t="s">
        <v>752</v>
      </c>
      <c r="O73" s="18"/>
      <c r="P73" s="18"/>
      <c r="T73" s="19"/>
      <c r="U73" s="20" t="e">
        <f>#REF!</f>
        <v>#REF!</v>
      </c>
      <c r="V73" s="16"/>
      <c r="W73" s="16"/>
      <c r="X73" s="13"/>
      <c r="Y73" s="16"/>
    </row>
    <row r="74" spans="1:25">
      <c r="A74" s="13" t="s">
        <v>887</v>
      </c>
      <c r="B74" s="16" t="e">
        <f>#REF!</f>
        <v>#REF!</v>
      </c>
      <c r="C74" s="13" t="s">
        <v>757</v>
      </c>
      <c r="D74" s="13" t="s">
        <v>749</v>
      </c>
      <c r="E74" s="13" t="s">
        <v>750</v>
      </c>
      <c r="F74" s="13" t="s">
        <v>815</v>
      </c>
      <c r="G74" s="16"/>
      <c r="H74" s="17" t="e">
        <f>#REF!</f>
        <v>#REF!</v>
      </c>
      <c r="I74" s="16"/>
      <c r="J74" s="13" t="e">
        <f>#REF!</f>
        <v>#REF!</v>
      </c>
      <c r="K74" s="13"/>
      <c r="L74" s="16"/>
      <c r="M74" s="13" t="s">
        <v>778</v>
      </c>
      <c r="N74" s="13" t="s">
        <v>752</v>
      </c>
      <c r="O74" s="18"/>
      <c r="P74" s="18"/>
      <c r="T74" s="19"/>
      <c r="U74" s="20" t="e">
        <f>#REF!</f>
        <v>#REF!</v>
      </c>
      <c r="V74" s="16"/>
      <c r="W74" s="16"/>
      <c r="X74" s="13"/>
      <c r="Y74" s="16"/>
    </row>
    <row r="75" spans="1:25">
      <c r="A75" s="13" t="s">
        <v>888</v>
      </c>
      <c r="B75" s="16" t="e">
        <f>#REF!</f>
        <v>#REF!</v>
      </c>
      <c r="C75" s="13" t="s">
        <v>757</v>
      </c>
      <c r="D75" s="13" t="s">
        <v>749</v>
      </c>
      <c r="E75" s="13" t="s">
        <v>750</v>
      </c>
      <c r="F75" s="13" t="s">
        <v>815</v>
      </c>
      <c r="G75" s="16"/>
      <c r="H75" s="17" t="e">
        <f>#REF!</f>
        <v>#REF!</v>
      </c>
      <c r="I75" s="16"/>
      <c r="J75" s="13" t="e">
        <f>#REF!</f>
        <v>#REF!</v>
      </c>
      <c r="K75" s="13"/>
      <c r="L75" s="16"/>
      <c r="M75" s="13" t="s">
        <v>778</v>
      </c>
      <c r="N75" s="13" t="s">
        <v>752</v>
      </c>
      <c r="O75" s="18"/>
      <c r="P75" s="18"/>
      <c r="T75" s="19"/>
      <c r="U75" s="20" t="e">
        <f>#REF!</f>
        <v>#REF!</v>
      </c>
      <c r="V75" s="16"/>
      <c r="W75" s="16"/>
      <c r="X75" s="13"/>
      <c r="Y75" s="16"/>
    </row>
    <row r="76" spans="1:25">
      <c r="A76" s="13" t="s">
        <v>889</v>
      </c>
      <c r="B76" s="16" t="e">
        <f>#REF!</f>
        <v>#REF!</v>
      </c>
      <c r="C76" s="13" t="s">
        <v>757</v>
      </c>
      <c r="D76" s="13" t="s">
        <v>749</v>
      </c>
      <c r="E76" s="13" t="s">
        <v>750</v>
      </c>
      <c r="F76" s="13" t="s">
        <v>815</v>
      </c>
      <c r="G76" s="16"/>
      <c r="H76" s="17" t="e">
        <f>#REF!</f>
        <v>#REF!</v>
      </c>
      <c r="I76" s="16"/>
      <c r="J76" s="13" t="e">
        <f>#REF!</f>
        <v>#REF!</v>
      </c>
      <c r="K76" s="13"/>
      <c r="L76" s="16"/>
      <c r="M76" s="13" t="s">
        <v>778</v>
      </c>
      <c r="N76" s="13" t="s">
        <v>752</v>
      </c>
      <c r="O76" s="18"/>
      <c r="P76" s="18"/>
      <c r="T76" s="19"/>
      <c r="U76" s="20" t="e">
        <f>#REF!</f>
        <v>#REF!</v>
      </c>
      <c r="V76" s="16"/>
      <c r="W76" s="16"/>
      <c r="X76" s="13"/>
      <c r="Y76" s="16"/>
    </row>
    <row r="77" spans="1:25">
      <c r="A77" s="13" t="s">
        <v>890</v>
      </c>
      <c r="B77" s="16" t="e">
        <f>#REF!</f>
        <v>#REF!</v>
      </c>
      <c r="C77" s="13" t="s">
        <v>757</v>
      </c>
      <c r="D77" s="13" t="s">
        <v>749</v>
      </c>
      <c r="E77" s="13" t="s">
        <v>750</v>
      </c>
      <c r="F77" s="13" t="s">
        <v>815</v>
      </c>
      <c r="G77" s="16"/>
      <c r="H77" s="17" t="e">
        <f>#REF!</f>
        <v>#REF!</v>
      </c>
      <c r="I77" s="16"/>
      <c r="J77" s="13" t="e">
        <f>#REF!</f>
        <v>#REF!</v>
      </c>
      <c r="K77" s="13"/>
      <c r="L77" s="16"/>
      <c r="M77" s="13" t="s">
        <v>778</v>
      </c>
      <c r="N77" s="13" t="s">
        <v>752</v>
      </c>
      <c r="O77" s="18"/>
      <c r="P77" s="22"/>
      <c r="T77" s="19"/>
      <c r="U77" s="20" t="e">
        <f>#REF!</f>
        <v>#REF!</v>
      </c>
      <c r="V77" s="16"/>
      <c r="W77" s="16"/>
      <c r="X77" s="13"/>
      <c r="Y77" s="16"/>
    </row>
    <row r="78" spans="1:25">
      <c r="A78" s="13" t="s">
        <v>891</v>
      </c>
      <c r="B78" s="16" t="e">
        <f>#REF!</f>
        <v>#REF!</v>
      </c>
      <c r="C78" s="13" t="s">
        <v>757</v>
      </c>
      <c r="D78" s="13" t="s">
        <v>749</v>
      </c>
      <c r="E78" s="13" t="s">
        <v>750</v>
      </c>
      <c r="F78" s="13" t="s">
        <v>815</v>
      </c>
      <c r="G78" s="16"/>
      <c r="H78" s="17" t="e">
        <f>#REF!</f>
        <v>#REF!</v>
      </c>
      <c r="I78" s="16"/>
      <c r="J78" s="13" t="e">
        <f>#REF!</f>
        <v>#REF!</v>
      </c>
      <c r="K78" s="13"/>
      <c r="L78" s="16"/>
      <c r="M78" s="13" t="s">
        <v>778</v>
      </c>
      <c r="N78" s="13" t="s">
        <v>752</v>
      </c>
      <c r="O78" s="18"/>
      <c r="P78" s="22"/>
      <c r="T78" s="19"/>
      <c r="U78" s="20" t="e">
        <f>#REF!</f>
        <v>#REF!</v>
      </c>
      <c r="V78" s="16"/>
      <c r="W78" s="16"/>
      <c r="X78" s="13"/>
      <c r="Y78" s="16"/>
    </row>
    <row r="79" spans="1:25">
      <c r="A79" s="13" t="s">
        <v>892</v>
      </c>
      <c r="B79" s="16" t="e">
        <f>#REF!</f>
        <v>#REF!</v>
      </c>
      <c r="C79" s="13" t="s">
        <v>757</v>
      </c>
      <c r="D79" s="13" t="s">
        <v>749</v>
      </c>
      <c r="E79" s="13" t="s">
        <v>750</v>
      </c>
      <c r="F79" s="13" t="s">
        <v>815</v>
      </c>
      <c r="G79" s="16"/>
      <c r="H79" s="17" t="e">
        <f>#REF!</f>
        <v>#REF!</v>
      </c>
      <c r="I79" s="16"/>
      <c r="J79" s="13" t="e">
        <f>#REF!</f>
        <v>#REF!</v>
      </c>
      <c r="K79" s="13"/>
      <c r="L79" s="16"/>
      <c r="M79" s="13" t="s">
        <v>778</v>
      </c>
      <c r="N79" s="13" t="s">
        <v>752</v>
      </c>
      <c r="O79" s="18"/>
      <c r="P79" s="18"/>
      <c r="T79" s="19"/>
      <c r="U79" s="20" t="e">
        <f>#REF!</f>
        <v>#REF!</v>
      </c>
      <c r="V79" s="16"/>
      <c r="W79" s="16"/>
      <c r="X79" s="13"/>
      <c r="Y79" s="16"/>
    </row>
    <row r="80" spans="1:25">
      <c r="A80" s="13" t="s">
        <v>893</v>
      </c>
      <c r="B80" s="16" t="e">
        <f>#REF!</f>
        <v>#REF!</v>
      </c>
      <c r="C80" s="13" t="s">
        <v>757</v>
      </c>
      <c r="D80" s="13" t="s">
        <v>749</v>
      </c>
      <c r="E80" s="13" t="s">
        <v>750</v>
      </c>
      <c r="F80" s="13" t="s">
        <v>815</v>
      </c>
      <c r="G80" s="16"/>
      <c r="H80" s="17" t="e">
        <f>#REF!</f>
        <v>#REF!</v>
      </c>
      <c r="I80" s="16"/>
      <c r="J80" s="13" t="e">
        <f>#REF!</f>
        <v>#REF!</v>
      </c>
      <c r="K80" s="13"/>
      <c r="L80" s="16"/>
      <c r="M80" s="13" t="s">
        <v>778</v>
      </c>
      <c r="N80" s="13" t="s">
        <v>752</v>
      </c>
      <c r="O80" s="18"/>
      <c r="P80" s="18"/>
      <c r="T80" s="19"/>
      <c r="U80" s="20" t="e">
        <f>#REF!</f>
        <v>#REF!</v>
      </c>
      <c r="V80" s="16"/>
      <c r="W80" s="16"/>
      <c r="X80" s="13"/>
      <c r="Y80" s="16"/>
    </row>
    <row r="81" spans="1:25">
      <c r="A81" s="13" t="s">
        <v>894</v>
      </c>
      <c r="B81" s="16" t="e">
        <f>#REF!</f>
        <v>#REF!</v>
      </c>
      <c r="C81" s="13" t="s">
        <v>757</v>
      </c>
      <c r="D81" s="13" t="s">
        <v>749</v>
      </c>
      <c r="E81" s="13" t="s">
        <v>750</v>
      </c>
      <c r="F81" s="13" t="s">
        <v>815</v>
      </c>
      <c r="G81" s="16"/>
      <c r="H81" s="17" t="e">
        <f>#REF!</f>
        <v>#REF!</v>
      </c>
      <c r="I81" s="16"/>
      <c r="J81" s="13" t="e">
        <f>#REF!</f>
        <v>#REF!</v>
      </c>
      <c r="K81" s="13"/>
      <c r="L81" s="16"/>
      <c r="M81" s="13" t="s">
        <v>778</v>
      </c>
      <c r="N81" s="13" t="s">
        <v>752</v>
      </c>
      <c r="O81" s="18"/>
      <c r="P81" s="18"/>
      <c r="T81" s="19"/>
      <c r="U81" s="20" t="e">
        <f>#REF!</f>
        <v>#REF!</v>
      </c>
      <c r="V81" s="16"/>
      <c r="W81" s="16"/>
      <c r="X81" s="13"/>
      <c r="Y81" s="16"/>
    </row>
    <row r="82" spans="1:25">
      <c r="A82" s="13" t="s">
        <v>895</v>
      </c>
      <c r="B82" s="16" t="e">
        <f>#REF!</f>
        <v>#REF!</v>
      </c>
      <c r="C82" s="13" t="s">
        <v>757</v>
      </c>
      <c r="D82" s="13" t="s">
        <v>749</v>
      </c>
      <c r="E82" s="13" t="s">
        <v>750</v>
      </c>
      <c r="F82" s="13" t="s">
        <v>815</v>
      </c>
      <c r="G82" s="16"/>
      <c r="H82" s="17" t="e">
        <f>#REF!</f>
        <v>#REF!</v>
      </c>
      <c r="I82" s="16"/>
      <c r="J82" s="13" t="e">
        <f>#REF!</f>
        <v>#REF!</v>
      </c>
      <c r="K82" s="13"/>
      <c r="L82" s="16"/>
      <c r="M82" s="13" t="s">
        <v>778</v>
      </c>
      <c r="N82" s="13" t="s">
        <v>752</v>
      </c>
      <c r="O82" s="18"/>
      <c r="P82" s="18"/>
      <c r="T82" s="19"/>
      <c r="U82" s="20" t="e">
        <f>#REF!</f>
        <v>#REF!</v>
      </c>
      <c r="V82" s="16"/>
      <c r="W82" s="16"/>
      <c r="X82" s="13"/>
      <c r="Y82" s="16"/>
    </row>
    <row r="83" spans="1:25">
      <c r="A83" s="13" t="s">
        <v>896</v>
      </c>
      <c r="B83" s="16" t="e">
        <f>#REF!</f>
        <v>#REF!</v>
      </c>
      <c r="C83" s="13" t="s">
        <v>757</v>
      </c>
      <c r="D83" s="13" t="s">
        <v>749</v>
      </c>
      <c r="E83" s="13" t="s">
        <v>750</v>
      </c>
      <c r="F83" s="13" t="s">
        <v>815</v>
      </c>
      <c r="G83" s="16"/>
      <c r="H83" s="17" t="e">
        <f>#REF!</f>
        <v>#REF!</v>
      </c>
      <c r="I83" s="16"/>
      <c r="J83" s="13" t="e">
        <f>#REF!</f>
        <v>#REF!</v>
      </c>
      <c r="K83" s="13"/>
      <c r="L83" s="16"/>
      <c r="M83" s="13" t="s">
        <v>778</v>
      </c>
      <c r="N83" s="13" t="s">
        <v>752</v>
      </c>
      <c r="O83" s="18"/>
      <c r="P83" s="18"/>
      <c r="T83" s="19"/>
      <c r="U83" s="20" t="e">
        <f>#REF!</f>
        <v>#REF!</v>
      </c>
      <c r="V83" s="16"/>
      <c r="W83" s="16"/>
      <c r="X83" s="13"/>
      <c r="Y83" s="16"/>
    </row>
    <row r="84" spans="1:25">
      <c r="A84" s="13" t="s">
        <v>897</v>
      </c>
      <c r="B84" s="16" t="e">
        <f>#REF!</f>
        <v>#REF!</v>
      </c>
      <c r="C84" s="13" t="s">
        <v>757</v>
      </c>
      <c r="D84" s="13" t="s">
        <v>749</v>
      </c>
      <c r="E84" s="13" t="s">
        <v>750</v>
      </c>
      <c r="F84" s="13" t="s">
        <v>815</v>
      </c>
      <c r="G84" s="16"/>
      <c r="H84" s="17" t="e">
        <f>#REF!</f>
        <v>#REF!</v>
      </c>
      <c r="I84" s="16"/>
      <c r="J84" s="13" t="e">
        <f>#REF!</f>
        <v>#REF!</v>
      </c>
      <c r="K84" s="13"/>
      <c r="L84" s="16"/>
      <c r="M84" s="13" t="s">
        <v>778</v>
      </c>
      <c r="N84" s="13" t="s">
        <v>752</v>
      </c>
      <c r="O84" s="18"/>
      <c r="P84" s="18"/>
      <c r="T84" s="19"/>
      <c r="U84" s="20" t="e">
        <f>#REF!</f>
        <v>#REF!</v>
      </c>
      <c r="V84" s="16"/>
      <c r="W84" s="16"/>
      <c r="X84" s="13"/>
      <c r="Y84" s="16"/>
    </row>
    <row r="85" spans="1:25">
      <c r="A85" s="13" t="s">
        <v>898</v>
      </c>
      <c r="B85" s="16" t="e">
        <f>#REF!</f>
        <v>#REF!</v>
      </c>
      <c r="C85" s="13" t="s">
        <v>757</v>
      </c>
      <c r="D85" s="13" t="s">
        <v>749</v>
      </c>
      <c r="E85" s="13" t="s">
        <v>750</v>
      </c>
      <c r="F85" s="13" t="s">
        <v>815</v>
      </c>
      <c r="G85" s="16"/>
      <c r="H85" s="17" t="e">
        <f>#REF!</f>
        <v>#REF!</v>
      </c>
      <c r="I85" s="16"/>
      <c r="J85" s="13" t="e">
        <f>#REF!</f>
        <v>#REF!</v>
      </c>
      <c r="K85" s="13"/>
      <c r="L85" s="16"/>
      <c r="M85" s="13" t="s">
        <v>778</v>
      </c>
      <c r="N85" s="13" t="s">
        <v>752</v>
      </c>
      <c r="O85" s="18"/>
      <c r="P85" s="18"/>
      <c r="T85" s="19"/>
      <c r="U85" s="20" t="e">
        <f>#REF!</f>
        <v>#REF!</v>
      </c>
      <c r="V85" s="16"/>
      <c r="W85" s="16"/>
      <c r="X85" s="13"/>
      <c r="Y85" s="16"/>
    </row>
    <row r="86" spans="1:25">
      <c r="A86" s="13" t="s">
        <v>899</v>
      </c>
      <c r="B86" s="16" t="e">
        <f>#REF!</f>
        <v>#REF!</v>
      </c>
      <c r="C86" s="13" t="s">
        <v>757</v>
      </c>
      <c r="D86" s="13" t="s">
        <v>749</v>
      </c>
      <c r="E86" s="13" t="s">
        <v>750</v>
      </c>
      <c r="F86" s="13" t="s">
        <v>815</v>
      </c>
      <c r="G86" s="16"/>
      <c r="H86" s="17" t="e">
        <f>#REF!</f>
        <v>#REF!</v>
      </c>
      <c r="I86" s="16"/>
      <c r="J86" s="13" t="e">
        <f>#REF!</f>
        <v>#REF!</v>
      </c>
      <c r="K86" s="13"/>
      <c r="L86" s="16"/>
      <c r="M86" s="13" t="s">
        <v>778</v>
      </c>
      <c r="N86" s="13" t="s">
        <v>752</v>
      </c>
      <c r="O86" s="18"/>
      <c r="P86" s="18"/>
      <c r="T86" s="19"/>
      <c r="U86" s="20" t="e">
        <f>#REF!</f>
        <v>#REF!</v>
      </c>
      <c r="V86" s="16"/>
      <c r="W86" s="16"/>
      <c r="X86" s="13"/>
      <c r="Y86" s="16"/>
    </row>
    <row r="87" spans="1:25">
      <c r="A87" s="13" t="s">
        <v>900</v>
      </c>
      <c r="B87" s="16" t="e">
        <f>#REF!</f>
        <v>#REF!</v>
      </c>
      <c r="C87" s="13" t="s">
        <v>757</v>
      </c>
      <c r="D87" s="13" t="s">
        <v>749</v>
      </c>
      <c r="E87" s="13" t="s">
        <v>750</v>
      </c>
      <c r="F87" s="13" t="s">
        <v>815</v>
      </c>
      <c r="G87" s="16"/>
      <c r="H87" s="17" t="e">
        <f>#REF!</f>
        <v>#REF!</v>
      </c>
      <c r="I87" s="16"/>
      <c r="J87" s="13" t="e">
        <f>#REF!</f>
        <v>#REF!</v>
      </c>
      <c r="K87" s="13"/>
      <c r="L87" s="16"/>
      <c r="M87" s="13" t="s">
        <v>778</v>
      </c>
      <c r="N87" s="13" t="s">
        <v>752</v>
      </c>
      <c r="O87" s="18"/>
      <c r="P87" s="18"/>
      <c r="T87" s="19"/>
      <c r="U87" s="20" t="e">
        <f>#REF!</f>
        <v>#REF!</v>
      </c>
      <c r="V87" s="16"/>
      <c r="W87" s="16"/>
      <c r="X87" s="13"/>
      <c r="Y87" s="16"/>
    </row>
    <row r="88" spans="1:25">
      <c r="A88" s="13" t="s">
        <v>901</v>
      </c>
      <c r="B88" s="16" t="e">
        <f>#REF!</f>
        <v>#REF!</v>
      </c>
      <c r="C88" s="13" t="s">
        <v>757</v>
      </c>
      <c r="D88" s="13" t="s">
        <v>749</v>
      </c>
      <c r="E88" s="13" t="s">
        <v>750</v>
      </c>
      <c r="F88" s="13" t="s">
        <v>815</v>
      </c>
      <c r="G88" s="16"/>
      <c r="H88" s="17" t="e">
        <f>#REF!</f>
        <v>#REF!</v>
      </c>
      <c r="I88" s="16"/>
      <c r="J88" s="13" t="e">
        <f>#REF!</f>
        <v>#REF!</v>
      </c>
      <c r="K88" s="13"/>
      <c r="L88" s="16"/>
      <c r="M88" s="13" t="s">
        <v>778</v>
      </c>
      <c r="N88" s="13" t="s">
        <v>752</v>
      </c>
      <c r="O88" s="18"/>
      <c r="P88" s="18"/>
      <c r="T88" s="19"/>
      <c r="U88" s="20" t="e">
        <f>#REF!</f>
        <v>#REF!</v>
      </c>
      <c r="V88" s="16"/>
      <c r="W88" s="16"/>
      <c r="X88" s="13"/>
      <c r="Y88" s="16"/>
    </row>
    <row r="89" spans="1:25">
      <c r="A89" s="13" t="s">
        <v>902</v>
      </c>
      <c r="B89" s="16" t="e">
        <f>#REF!</f>
        <v>#REF!</v>
      </c>
      <c r="C89" s="13" t="s">
        <v>757</v>
      </c>
      <c r="D89" s="13" t="s">
        <v>749</v>
      </c>
      <c r="E89" s="13" t="s">
        <v>750</v>
      </c>
      <c r="F89" s="13" t="s">
        <v>815</v>
      </c>
      <c r="G89" s="16"/>
      <c r="H89" s="17" t="e">
        <f>#REF!</f>
        <v>#REF!</v>
      </c>
      <c r="I89" s="16"/>
      <c r="J89" s="13" t="e">
        <f>#REF!</f>
        <v>#REF!</v>
      </c>
      <c r="K89" s="13"/>
      <c r="L89" s="16"/>
      <c r="M89" s="13" t="s">
        <v>778</v>
      </c>
      <c r="N89" s="13" t="s">
        <v>752</v>
      </c>
      <c r="O89" s="18"/>
      <c r="P89" s="18"/>
      <c r="T89" s="19"/>
      <c r="U89" s="20" t="e">
        <f>#REF!</f>
        <v>#REF!</v>
      </c>
      <c r="V89" s="16"/>
      <c r="W89" s="16"/>
      <c r="X89" s="13"/>
      <c r="Y89" s="16"/>
    </row>
    <row r="90" spans="1:25">
      <c r="A90" s="13" t="s">
        <v>903</v>
      </c>
      <c r="B90" s="16" t="e">
        <f>#REF!</f>
        <v>#REF!</v>
      </c>
      <c r="C90" s="13" t="s">
        <v>757</v>
      </c>
      <c r="D90" s="13" t="s">
        <v>749</v>
      </c>
      <c r="E90" s="13" t="s">
        <v>750</v>
      </c>
      <c r="F90" s="13" t="s">
        <v>815</v>
      </c>
      <c r="G90" s="16"/>
      <c r="H90" s="17" t="e">
        <f>#REF!</f>
        <v>#REF!</v>
      </c>
      <c r="I90" s="16"/>
      <c r="J90" s="13" t="e">
        <f>#REF!</f>
        <v>#REF!</v>
      </c>
      <c r="K90" s="13"/>
      <c r="L90" s="16"/>
      <c r="M90" s="13" t="s">
        <v>778</v>
      </c>
      <c r="N90" s="13" t="s">
        <v>752</v>
      </c>
      <c r="O90" s="18"/>
      <c r="P90" s="18"/>
      <c r="T90" s="19"/>
      <c r="U90" s="20" t="e">
        <f>#REF!</f>
        <v>#REF!</v>
      </c>
      <c r="V90" s="16"/>
      <c r="W90" s="16"/>
      <c r="X90" s="13"/>
      <c r="Y90" s="16"/>
    </row>
    <row r="91" spans="1:25">
      <c r="A91" s="13" t="s">
        <v>904</v>
      </c>
      <c r="B91" s="16" t="e">
        <f>#REF!</f>
        <v>#REF!</v>
      </c>
      <c r="C91" s="13" t="s">
        <v>757</v>
      </c>
      <c r="D91" s="13" t="s">
        <v>749</v>
      </c>
      <c r="E91" s="13" t="s">
        <v>750</v>
      </c>
      <c r="F91" s="13" t="s">
        <v>815</v>
      </c>
      <c r="G91" s="16"/>
      <c r="H91" s="17" t="e">
        <f>#REF!</f>
        <v>#REF!</v>
      </c>
      <c r="I91" s="16"/>
      <c r="J91" s="13" t="e">
        <f>#REF!</f>
        <v>#REF!</v>
      </c>
      <c r="K91" s="13"/>
      <c r="L91" s="16"/>
      <c r="M91" s="13" t="s">
        <v>778</v>
      </c>
      <c r="N91" s="13" t="s">
        <v>752</v>
      </c>
      <c r="O91" s="18"/>
      <c r="P91" s="18"/>
      <c r="T91" s="19"/>
      <c r="U91" s="20" t="e">
        <f>#REF!</f>
        <v>#REF!</v>
      </c>
      <c r="V91" s="16"/>
      <c r="W91" s="16"/>
      <c r="X91" s="13"/>
      <c r="Y91" s="16"/>
    </row>
    <row r="92" spans="1:25">
      <c r="A92" s="13" t="s">
        <v>905</v>
      </c>
      <c r="B92" s="16" t="e">
        <f>#REF!</f>
        <v>#REF!</v>
      </c>
      <c r="C92" s="13" t="s">
        <v>757</v>
      </c>
      <c r="D92" s="13" t="s">
        <v>749</v>
      </c>
      <c r="E92" s="13" t="s">
        <v>750</v>
      </c>
      <c r="F92" s="13" t="s">
        <v>815</v>
      </c>
      <c r="G92" s="16"/>
      <c r="H92" s="17" t="e">
        <f>#REF!</f>
        <v>#REF!</v>
      </c>
      <c r="I92" s="16"/>
      <c r="J92" s="13" t="e">
        <f>#REF!</f>
        <v>#REF!</v>
      </c>
      <c r="K92" s="13"/>
      <c r="L92" s="16"/>
      <c r="M92" s="13" t="s">
        <v>778</v>
      </c>
      <c r="N92" s="13" t="s">
        <v>752</v>
      </c>
      <c r="O92" s="18"/>
      <c r="P92" s="18"/>
      <c r="T92" s="19"/>
      <c r="U92" s="20" t="e">
        <f>#REF!</f>
        <v>#REF!</v>
      </c>
      <c r="V92" s="16"/>
      <c r="W92" s="16"/>
      <c r="X92" s="13"/>
      <c r="Y92" s="16"/>
    </row>
    <row r="93" spans="1:25">
      <c r="A93" s="13" t="s">
        <v>906</v>
      </c>
      <c r="B93" s="16" t="e">
        <f>#REF!</f>
        <v>#REF!</v>
      </c>
      <c r="C93" s="13" t="s">
        <v>757</v>
      </c>
      <c r="D93" s="13" t="s">
        <v>749</v>
      </c>
      <c r="E93" s="13" t="s">
        <v>750</v>
      </c>
      <c r="F93" s="13" t="s">
        <v>815</v>
      </c>
      <c r="G93" s="16"/>
      <c r="H93" s="17" t="e">
        <f>#REF!</f>
        <v>#REF!</v>
      </c>
      <c r="I93" s="16"/>
      <c r="J93" s="13" t="e">
        <f>#REF!</f>
        <v>#REF!</v>
      </c>
      <c r="K93" s="13"/>
      <c r="L93" s="16"/>
      <c r="M93" s="13" t="s">
        <v>778</v>
      </c>
      <c r="N93" s="13" t="s">
        <v>752</v>
      </c>
      <c r="O93" s="18"/>
      <c r="P93" s="18"/>
      <c r="T93" s="19"/>
      <c r="U93" s="20" t="e">
        <f>#REF!</f>
        <v>#REF!</v>
      </c>
      <c r="V93" s="16"/>
      <c r="W93" s="16"/>
      <c r="X93" s="13"/>
      <c r="Y93" s="16"/>
    </row>
    <row r="94" spans="1:25">
      <c r="A94" s="13" t="s">
        <v>907</v>
      </c>
      <c r="B94" s="16" t="e">
        <f>#REF!</f>
        <v>#REF!</v>
      </c>
      <c r="C94" s="13" t="s">
        <v>757</v>
      </c>
      <c r="D94" s="13" t="s">
        <v>749</v>
      </c>
      <c r="E94" s="13" t="s">
        <v>750</v>
      </c>
      <c r="F94" s="13" t="s">
        <v>815</v>
      </c>
      <c r="G94" s="16"/>
      <c r="H94" s="17" t="e">
        <f>#REF!</f>
        <v>#REF!</v>
      </c>
      <c r="I94" s="16"/>
      <c r="J94" s="13" t="e">
        <f>#REF!</f>
        <v>#REF!</v>
      </c>
      <c r="K94" s="13"/>
      <c r="L94" s="16"/>
      <c r="M94" s="13" t="s">
        <v>778</v>
      </c>
      <c r="N94" s="13" t="s">
        <v>752</v>
      </c>
      <c r="O94" s="18"/>
      <c r="P94" s="22"/>
      <c r="T94" s="19"/>
      <c r="U94" s="20" t="e">
        <f>#REF!</f>
        <v>#REF!</v>
      </c>
      <c r="V94" s="16"/>
      <c r="W94" s="16"/>
      <c r="X94" s="13"/>
      <c r="Y94" s="16"/>
    </row>
    <row r="95" spans="1:25">
      <c r="A95" s="13" t="s">
        <v>908</v>
      </c>
      <c r="B95" s="16" t="e">
        <f>#REF!</f>
        <v>#REF!</v>
      </c>
      <c r="C95" s="13" t="s">
        <v>757</v>
      </c>
      <c r="D95" s="13" t="s">
        <v>749</v>
      </c>
      <c r="E95" s="13" t="s">
        <v>750</v>
      </c>
      <c r="F95" s="13" t="s">
        <v>815</v>
      </c>
      <c r="G95" s="16"/>
      <c r="H95" s="17" t="e">
        <f>#REF!</f>
        <v>#REF!</v>
      </c>
      <c r="I95" s="16"/>
      <c r="J95" s="13" t="e">
        <f>#REF!</f>
        <v>#REF!</v>
      </c>
      <c r="K95" s="13"/>
      <c r="L95" s="16"/>
      <c r="M95" s="13" t="s">
        <v>778</v>
      </c>
      <c r="N95" s="13" t="s">
        <v>752</v>
      </c>
      <c r="O95" s="18"/>
      <c r="P95" s="18"/>
      <c r="T95" s="19"/>
      <c r="U95" s="20" t="e">
        <f>#REF!</f>
        <v>#REF!</v>
      </c>
      <c r="V95" s="16"/>
      <c r="W95" s="16"/>
      <c r="X95" s="13"/>
      <c r="Y95" s="16"/>
    </row>
    <row r="96" spans="1:25">
      <c r="A96" s="13" t="s">
        <v>909</v>
      </c>
      <c r="B96" s="16" t="e">
        <f>#REF!</f>
        <v>#REF!</v>
      </c>
      <c r="C96" s="13" t="s">
        <v>757</v>
      </c>
      <c r="D96" s="13" t="s">
        <v>749</v>
      </c>
      <c r="E96" s="13" t="s">
        <v>750</v>
      </c>
      <c r="F96" s="13" t="s">
        <v>815</v>
      </c>
      <c r="G96" s="16"/>
      <c r="H96" s="17" t="e">
        <f>#REF!</f>
        <v>#REF!</v>
      </c>
      <c r="I96" s="16"/>
      <c r="J96" s="13" t="e">
        <f>#REF!</f>
        <v>#REF!</v>
      </c>
      <c r="K96" s="13"/>
      <c r="L96" s="16"/>
      <c r="M96" s="13" t="s">
        <v>778</v>
      </c>
      <c r="N96" s="13" t="s">
        <v>752</v>
      </c>
      <c r="O96" s="18"/>
      <c r="P96" s="18"/>
      <c r="T96" s="19"/>
      <c r="U96" s="20" t="e">
        <f>#REF!</f>
        <v>#REF!</v>
      </c>
      <c r="V96" s="16"/>
      <c r="W96" s="16"/>
      <c r="X96" s="13"/>
      <c r="Y96" s="16"/>
    </row>
    <row r="97" spans="1:25">
      <c r="A97" s="13" t="s">
        <v>910</v>
      </c>
      <c r="B97" s="16" t="e">
        <f>#REF!</f>
        <v>#REF!</v>
      </c>
      <c r="C97" s="13" t="s">
        <v>757</v>
      </c>
      <c r="D97" s="13" t="s">
        <v>749</v>
      </c>
      <c r="E97" s="13" t="s">
        <v>750</v>
      </c>
      <c r="F97" s="13" t="s">
        <v>815</v>
      </c>
      <c r="G97" s="16"/>
      <c r="H97" s="17" t="e">
        <f>#REF!</f>
        <v>#REF!</v>
      </c>
      <c r="I97" s="16"/>
      <c r="J97" s="13" t="e">
        <f>#REF!</f>
        <v>#REF!</v>
      </c>
      <c r="K97" s="13"/>
      <c r="L97" s="16"/>
      <c r="M97" s="13" t="s">
        <v>778</v>
      </c>
      <c r="N97" s="13" t="s">
        <v>752</v>
      </c>
      <c r="O97" s="18"/>
      <c r="P97" s="18"/>
      <c r="T97" s="19"/>
      <c r="U97" s="20" t="e">
        <f>#REF!</f>
        <v>#REF!</v>
      </c>
      <c r="V97" s="16"/>
      <c r="W97" s="16"/>
      <c r="X97" s="13"/>
      <c r="Y97" s="16"/>
    </row>
    <row r="98" spans="1:25">
      <c r="A98" s="13" t="s">
        <v>911</v>
      </c>
      <c r="B98" s="16" t="e">
        <f>#REF!</f>
        <v>#REF!</v>
      </c>
      <c r="C98" s="13" t="s">
        <v>757</v>
      </c>
      <c r="D98" s="13" t="s">
        <v>749</v>
      </c>
      <c r="E98" s="13" t="s">
        <v>750</v>
      </c>
      <c r="F98" s="13" t="s">
        <v>815</v>
      </c>
      <c r="G98" s="16"/>
      <c r="H98" s="17" t="e">
        <f>#REF!</f>
        <v>#REF!</v>
      </c>
      <c r="I98" s="16"/>
      <c r="J98" s="13" t="e">
        <f>#REF!</f>
        <v>#REF!</v>
      </c>
      <c r="K98" s="13"/>
      <c r="L98" s="16"/>
      <c r="M98" s="13" t="s">
        <v>778</v>
      </c>
      <c r="N98" s="13" t="s">
        <v>752</v>
      </c>
      <c r="O98" s="18"/>
      <c r="P98" s="18"/>
      <c r="T98" s="19"/>
      <c r="U98" s="20" t="e">
        <f>#REF!</f>
        <v>#REF!</v>
      </c>
      <c r="V98" s="16"/>
      <c r="W98" s="16"/>
      <c r="X98" s="13"/>
      <c r="Y98" s="16"/>
    </row>
    <row r="99" spans="1:25">
      <c r="A99" s="13" t="s">
        <v>912</v>
      </c>
      <c r="B99" s="16" t="e">
        <f>#REF!</f>
        <v>#REF!</v>
      </c>
      <c r="C99" s="13" t="s">
        <v>757</v>
      </c>
      <c r="D99" s="13" t="s">
        <v>749</v>
      </c>
      <c r="E99" s="13" t="s">
        <v>750</v>
      </c>
      <c r="F99" s="13" t="s">
        <v>815</v>
      </c>
      <c r="G99" s="16"/>
      <c r="H99" s="17" t="e">
        <f>#REF!</f>
        <v>#REF!</v>
      </c>
      <c r="I99" s="16"/>
      <c r="J99" s="13" t="e">
        <f>#REF!</f>
        <v>#REF!</v>
      </c>
      <c r="K99" s="13"/>
      <c r="L99" s="16"/>
      <c r="M99" s="13" t="s">
        <v>778</v>
      </c>
      <c r="N99" s="13" t="s">
        <v>752</v>
      </c>
      <c r="O99" s="18"/>
      <c r="P99" s="18"/>
      <c r="T99" s="19"/>
      <c r="U99" s="20" t="e">
        <f>#REF!</f>
        <v>#REF!</v>
      </c>
      <c r="V99" s="16"/>
      <c r="W99" s="16"/>
      <c r="X99" s="13"/>
      <c r="Y99" s="16"/>
    </row>
    <row r="100" spans="1:25">
      <c r="A100" s="13" t="s">
        <v>913</v>
      </c>
      <c r="B100" s="16" t="e">
        <f>#REF!</f>
        <v>#REF!</v>
      </c>
      <c r="C100" s="13" t="s">
        <v>757</v>
      </c>
      <c r="D100" s="13" t="s">
        <v>749</v>
      </c>
      <c r="E100" s="13" t="s">
        <v>750</v>
      </c>
      <c r="F100" s="13" t="s">
        <v>815</v>
      </c>
      <c r="G100" s="16"/>
      <c r="H100" s="17" t="e">
        <f>#REF!</f>
        <v>#REF!</v>
      </c>
      <c r="I100" s="16"/>
      <c r="J100" s="13" t="e">
        <f>#REF!</f>
        <v>#REF!</v>
      </c>
      <c r="K100" s="13"/>
      <c r="L100" s="16"/>
      <c r="M100" s="13" t="s">
        <v>778</v>
      </c>
      <c r="N100" s="13" t="s">
        <v>752</v>
      </c>
      <c r="O100" s="18"/>
      <c r="P100" s="18"/>
      <c r="T100" s="19"/>
      <c r="U100" s="20" t="e">
        <f>#REF!</f>
        <v>#REF!</v>
      </c>
      <c r="V100" s="16"/>
      <c r="W100" s="16"/>
      <c r="X100" s="13"/>
      <c r="Y100" s="16"/>
    </row>
    <row r="101" spans="1:25">
      <c r="A101" s="13" t="s">
        <v>914</v>
      </c>
      <c r="B101" s="16" t="e">
        <f>#REF!</f>
        <v>#REF!</v>
      </c>
      <c r="C101" s="13" t="s">
        <v>757</v>
      </c>
      <c r="D101" s="13" t="s">
        <v>749</v>
      </c>
      <c r="E101" s="13" t="s">
        <v>750</v>
      </c>
      <c r="F101" s="13" t="s">
        <v>815</v>
      </c>
      <c r="G101" s="16"/>
      <c r="H101" s="17" t="e">
        <f>#REF!</f>
        <v>#REF!</v>
      </c>
      <c r="I101" s="16"/>
      <c r="J101" s="13" t="e">
        <f>#REF!</f>
        <v>#REF!</v>
      </c>
      <c r="K101" s="13"/>
      <c r="L101" s="16"/>
      <c r="M101" s="13" t="s">
        <v>778</v>
      </c>
      <c r="N101" s="13" t="s">
        <v>752</v>
      </c>
      <c r="O101" s="18"/>
      <c r="P101" s="18"/>
      <c r="T101" s="19"/>
      <c r="U101" s="20" t="e">
        <f>#REF!</f>
        <v>#REF!</v>
      </c>
      <c r="V101" s="16"/>
      <c r="W101" s="16"/>
      <c r="X101" s="13"/>
      <c r="Y101" s="16"/>
    </row>
    <row r="102" spans="1:25">
      <c r="A102" s="13" t="s">
        <v>915</v>
      </c>
      <c r="B102" s="16" t="e">
        <f>#REF!</f>
        <v>#REF!</v>
      </c>
      <c r="C102" s="13" t="s">
        <v>757</v>
      </c>
      <c r="D102" s="13" t="s">
        <v>749</v>
      </c>
      <c r="E102" s="13" t="s">
        <v>750</v>
      </c>
      <c r="F102" s="13" t="s">
        <v>815</v>
      </c>
      <c r="G102" s="16"/>
      <c r="H102" s="17" t="e">
        <f>#REF!</f>
        <v>#REF!</v>
      </c>
      <c r="I102" s="16"/>
      <c r="J102" s="13" t="e">
        <f>#REF!</f>
        <v>#REF!</v>
      </c>
      <c r="K102" s="13"/>
      <c r="L102" s="16"/>
      <c r="M102" s="13" t="s">
        <v>778</v>
      </c>
      <c r="N102" s="13" t="s">
        <v>752</v>
      </c>
      <c r="O102" s="18"/>
      <c r="P102" s="18"/>
      <c r="T102" s="19"/>
      <c r="U102" s="20" t="e">
        <f>#REF!</f>
        <v>#REF!</v>
      </c>
      <c r="V102" s="16"/>
      <c r="W102" s="16"/>
      <c r="X102" s="13"/>
      <c r="Y102" s="16"/>
    </row>
    <row r="103" spans="1:25">
      <c r="A103" s="13" t="s">
        <v>916</v>
      </c>
      <c r="B103" s="16" t="e">
        <f>#REF!</f>
        <v>#REF!</v>
      </c>
      <c r="C103" s="13" t="s">
        <v>757</v>
      </c>
      <c r="D103" s="13" t="s">
        <v>749</v>
      </c>
      <c r="E103" s="13" t="s">
        <v>750</v>
      </c>
      <c r="F103" s="13" t="s">
        <v>815</v>
      </c>
      <c r="G103" s="16"/>
      <c r="H103" s="17" t="e">
        <f>#REF!</f>
        <v>#REF!</v>
      </c>
      <c r="I103" s="16"/>
      <c r="J103" s="13" t="e">
        <f>#REF!</f>
        <v>#REF!</v>
      </c>
      <c r="K103" s="13"/>
      <c r="L103" s="16"/>
      <c r="M103" s="13" t="s">
        <v>778</v>
      </c>
      <c r="N103" s="13" t="s">
        <v>752</v>
      </c>
      <c r="O103" s="18"/>
      <c r="P103" s="18"/>
      <c r="T103" s="19"/>
      <c r="U103" s="20" t="e">
        <f>#REF!</f>
        <v>#REF!</v>
      </c>
      <c r="V103" s="16"/>
      <c r="W103" s="16"/>
      <c r="X103" s="13"/>
      <c r="Y103" s="16"/>
    </row>
    <row r="104" spans="1:25">
      <c r="A104" s="13" t="s">
        <v>917</v>
      </c>
      <c r="B104" s="16" t="e">
        <f>#REF!</f>
        <v>#REF!</v>
      </c>
      <c r="C104" s="13" t="s">
        <v>757</v>
      </c>
      <c r="D104" s="13" t="s">
        <v>749</v>
      </c>
      <c r="E104" s="13" t="s">
        <v>750</v>
      </c>
      <c r="F104" s="13" t="s">
        <v>815</v>
      </c>
      <c r="G104" s="16"/>
      <c r="H104" s="17" t="e">
        <f>#REF!</f>
        <v>#REF!</v>
      </c>
      <c r="I104" s="16"/>
      <c r="J104" s="13" t="e">
        <f>#REF!</f>
        <v>#REF!</v>
      </c>
      <c r="K104" s="13"/>
      <c r="L104" s="16"/>
      <c r="M104" s="13" t="s">
        <v>778</v>
      </c>
      <c r="N104" s="13" t="s">
        <v>752</v>
      </c>
      <c r="O104" s="18"/>
      <c r="P104" s="18"/>
      <c r="T104" s="19"/>
      <c r="U104" s="20" t="e">
        <f>#REF!</f>
        <v>#REF!</v>
      </c>
      <c r="V104" s="16"/>
      <c r="W104" s="16"/>
      <c r="X104" s="13"/>
      <c r="Y104" s="16"/>
    </row>
    <row r="105" spans="1:25">
      <c r="A105" s="13" t="s">
        <v>918</v>
      </c>
      <c r="B105" s="16" t="e">
        <f>#REF!</f>
        <v>#REF!</v>
      </c>
      <c r="C105" s="13" t="s">
        <v>757</v>
      </c>
      <c r="D105" s="13" t="s">
        <v>749</v>
      </c>
      <c r="E105" s="13" t="s">
        <v>750</v>
      </c>
      <c r="F105" s="13" t="s">
        <v>815</v>
      </c>
      <c r="G105" s="16"/>
      <c r="H105" s="17" t="e">
        <f>#REF!</f>
        <v>#REF!</v>
      </c>
      <c r="I105" s="16"/>
      <c r="J105" s="13" t="e">
        <f>#REF!</f>
        <v>#REF!</v>
      </c>
      <c r="K105" s="13"/>
      <c r="L105" s="16"/>
      <c r="M105" s="13" t="s">
        <v>778</v>
      </c>
      <c r="N105" s="13" t="s">
        <v>752</v>
      </c>
      <c r="O105" s="18"/>
      <c r="P105" s="18"/>
      <c r="T105" s="19"/>
      <c r="U105" s="20" t="e">
        <f>#REF!</f>
        <v>#REF!</v>
      </c>
      <c r="V105" s="16"/>
      <c r="W105" s="16"/>
      <c r="X105" s="13"/>
      <c r="Y105" s="16"/>
    </row>
    <row r="106" spans="1:25">
      <c r="A106" s="13" t="s">
        <v>919</v>
      </c>
      <c r="B106" s="16" t="e">
        <f>#REF!</f>
        <v>#REF!</v>
      </c>
      <c r="C106" s="13" t="s">
        <v>757</v>
      </c>
      <c r="D106" s="13" t="s">
        <v>749</v>
      </c>
      <c r="E106" s="13" t="s">
        <v>750</v>
      </c>
      <c r="F106" s="13" t="s">
        <v>815</v>
      </c>
      <c r="G106" s="16"/>
      <c r="H106" s="17" t="e">
        <f>#REF!</f>
        <v>#REF!</v>
      </c>
      <c r="I106" s="16"/>
      <c r="J106" s="13" t="e">
        <f>#REF!</f>
        <v>#REF!</v>
      </c>
      <c r="K106" s="13"/>
      <c r="L106" s="16"/>
      <c r="M106" s="13" t="s">
        <v>778</v>
      </c>
      <c r="N106" s="13" t="s">
        <v>752</v>
      </c>
      <c r="O106" s="18"/>
      <c r="P106" s="18"/>
      <c r="T106" s="19"/>
      <c r="U106" s="20" t="e">
        <f>#REF!</f>
        <v>#REF!</v>
      </c>
      <c r="V106" s="16"/>
      <c r="W106" s="16"/>
      <c r="X106" s="13"/>
      <c r="Y106" s="16"/>
    </row>
    <row r="107" spans="1:25">
      <c r="A107" s="13" t="s">
        <v>920</v>
      </c>
      <c r="B107" s="16" t="e">
        <f>#REF!</f>
        <v>#REF!</v>
      </c>
      <c r="C107" s="13" t="s">
        <v>757</v>
      </c>
      <c r="D107" s="13" t="s">
        <v>749</v>
      </c>
      <c r="E107" s="13" t="s">
        <v>750</v>
      </c>
      <c r="F107" s="13" t="s">
        <v>815</v>
      </c>
      <c r="G107" s="16"/>
      <c r="H107" s="17" t="e">
        <f>#REF!</f>
        <v>#REF!</v>
      </c>
      <c r="I107" s="16"/>
      <c r="J107" s="13" t="e">
        <f>#REF!</f>
        <v>#REF!</v>
      </c>
      <c r="K107" s="13"/>
      <c r="L107" s="16"/>
      <c r="M107" s="13" t="s">
        <v>778</v>
      </c>
      <c r="N107" s="13" t="s">
        <v>752</v>
      </c>
      <c r="O107" s="18"/>
      <c r="P107" s="18"/>
      <c r="T107" s="19"/>
      <c r="U107" s="20" t="e">
        <f>#REF!</f>
        <v>#REF!</v>
      </c>
      <c r="V107" s="16"/>
      <c r="W107" s="16"/>
      <c r="X107" s="13"/>
      <c r="Y107" s="16"/>
    </row>
    <row r="108" spans="1:25">
      <c r="A108" s="13" t="s">
        <v>921</v>
      </c>
      <c r="B108" s="16" t="e">
        <f>#REF!</f>
        <v>#REF!</v>
      </c>
      <c r="C108" s="13" t="s">
        <v>757</v>
      </c>
      <c r="D108" s="13" t="s">
        <v>749</v>
      </c>
      <c r="E108" s="13" t="s">
        <v>750</v>
      </c>
      <c r="F108" s="13" t="s">
        <v>815</v>
      </c>
      <c r="G108" s="16"/>
      <c r="H108" s="17" t="e">
        <f>#REF!</f>
        <v>#REF!</v>
      </c>
      <c r="I108" s="16"/>
      <c r="J108" s="13" t="e">
        <f>#REF!</f>
        <v>#REF!</v>
      </c>
      <c r="K108" s="13"/>
      <c r="L108" s="16"/>
      <c r="M108" s="13" t="s">
        <v>778</v>
      </c>
      <c r="N108" s="13" t="s">
        <v>752</v>
      </c>
      <c r="O108" s="18"/>
      <c r="P108" s="18"/>
      <c r="T108" s="19"/>
      <c r="U108" s="20" t="e">
        <f>#REF!</f>
        <v>#REF!</v>
      </c>
      <c r="V108" s="16"/>
      <c r="W108" s="16"/>
      <c r="X108" s="13"/>
      <c r="Y108" s="16"/>
    </row>
    <row r="109" spans="1:25">
      <c r="A109" s="13" t="s">
        <v>922</v>
      </c>
      <c r="B109" s="16" t="e">
        <f>#REF!</f>
        <v>#REF!</v>
      </c>
      <c r="C109" s="13" t="s">
        <v>757</v>
      </c>
      <c r="D109" s="13" t="s">
        <v>749</v>
      </c>
      <c r="E109" s="13" t="s">
        <v>750</v>
      </c>
      <c r="F109" s="13" t="s">
        <v>815</v>
      </c>
      <c r="G109" s="16"/>
      <c r="H109" s="17" t="e">
        <f>#REF!</f>
        <v>#REF!</v>
      </c>
      <c r="I109" s="16"/>
      <c r="J109" s="13" t="e">
        <f>#REF!</f>
        <v>#REF!</v>
      </c>
      <c r="K109" s="13"/>
      <c r="L109" s="16"/>
      <c r="M109" s="13" t="s">
        <v>778</v>
      </c>
      <c r="N109" s="13" t="s">
        <v>752</v>
      </c>
      <c r="O109" s="18"/>
      <c r="P109" s="18"/>
      <c r="T109" s="19"/>
      <c r="U109" s="20" t="e">
        <f>#REF!</f>
        <v>#REF!</v>
      </c>
      <c r="V109" s="16"/>
      <c r="W109" s="16"/>
      <c r="X109" s="13"/>
      <c r="Y109" s="16"/>
    </row>
    <row r="110" spans="1:25">
      <c r="A110" s="13" t="s">
        <v>923</v>
      </c>
      <c r="B110" s="16" t="e">
        <f>#REF!</f>
        <v>#REF!</v>
      </c>
      <c r="C110" s="13" t="s">
        <v>757</v>
      </c>
      <c r="D110" s="13" t="s">
        <v>749</v>
      </c>
      <c r="E110" s="13" t="s">
        <v>750</v>
      </c>
      <c r="F110" s="13" t="s">
        <v>815</v>
      </c>
      <c r="G110" s="16"/>
      <c r="H110" s="17" t="e">
        <f>#REF!</f>
        <v>#REF!</v>
      </c>
      <c r="I110" s="16"/>
      <c r="J110" s="13" t="e">
        <f>#REF!</f>
        <v>#REF!</v>
      </c>
      <c r="K110" s="13"/>
      <c r="L110" s="16"/>
      <c r="M110" s="13" t="s">
        <v>778</v>
      </c>
      <c r="N110" s="13" t="s">
        <v>752</v>
      </c>
      <c r="O110" s="18"/>
      <c r="P110" s="18"/>
      <c r="T110" s="19"/>
      <c r="U110" s="20" t="e">
        <f>#REF!</f>
        <v>#REF!</v>
      </c>
      <c r="V110" s="16"/>
      <c r="W110" s="16"/>
      <c r="X110" s="13"/>
      <c r="Y110" s="16"/>
    </row>
    <row r="111" spans="1:25">
      <c r="A111" s="13" t="s">
        <v>924</v>
      </c>
      <c r="B111" s="16" t="e">
        <f>#REF!</f>
        <v>#REF!</v>
      </c>
      <c r="C111" s="13" t="s">
        <v>757</v>
      </c>
      <c r="D111" s="13" t="s">
        <v>749</v>
      </c>
      <c r="E111" s="13" t="s">
        <v>750</v>
      </c>
      <c r="F111" s="13" t="s">
        <v>815</v>
      </c>
      <c r="G111" s="16"/>
      <c r="H111" s="17" t="e">
        <f>#REF!</f>
        <v>#REF!</v>
      </c>
      <c r="I111" s="16"/>
      <c r="J111" s="13" t="e">
        <f>#REF!</f>
        <v>#REF!</v>
      </c>
      <c r="K111" s="13"/>
      <c r="L111" s="16"/>
      <c r="M111" s="13" t="s">
        <v>778</v>
      </c>
      <c r="N111" s="13" t="s">
        <v>752</v>
      </c>
      <c r="O111" s="18"/>
      <c r="P111" s="18"/>
      <c r="T111" s="19"/>
      <c r="U111" s="20" t="e">
        <f>#REF!</f>
        <v>#REF!</v>
      </c>
      <c r="V111" s="16"/>
      <c r="W111" s="16"/>
      <c r="X111" s="13"/>
      <c r="Y111" s="16"/>
    </row>
    <row r="112" spans="1:25">
      <c r="A112" s="13" t="s">
        <v>925</v>
      </c>
      <c r="B112" s="16" t="e">
        <f>#REF!</f>
        <v>#REF!</v>
      </c>
      <c r="C112" s="13" t="s">
        <v>757</v>
      </c>
      <c r="D112" s="13" t="s">
        <v>749</v>
      </c>
      <c r="E112" s="13" t="s">
        <v>750</v>
      </c>
      <c r="F112" s="13" t="s">
        <v>815</v>
      </c>
      <c r="G112" s="16"/>
      <c r="H112" s="17" t="e">
        <f>#REF!</f>
        <v>#REF!</v>
      </c>
      <c r="I112" s="16"/>
      <c r="J112" s="13" t="e">
        <f>#REF!</f>
        <v>#REF!</v>
      </c>
      <c r="K112" s="13"/>
      <c r="L112" s="16"/>
      <c r="M112" s="13" t="s">
        <v>778</v>
      </c>
      <c r="N112" s="13" t="s">
        <v>752</v>
      </c>
      <c r="O112" s="18"/>
      <c r="P112" s="18"/>
      <c r="T112" s="19"/>
      <c r="U112" s="20" t="e">
        <f>#REF!</f>
        <v>#REF!</v>
      </c>
      <c r="V112" s="16"/>
      <c r="W112" s="16"/>
      <c r="X112" s="13"/>
      <c r="Y112" s="16"/>
    </row>
    <row r="113" spans="1:25">
      <c r="A113" s="13" t="s">
        <v>926</v>
      </c>
      <c r="B113" s="16" t="e">
        <f>#REF!</f>
        <v>#REF!</v>
      </c>
      <c r="C113" s="13" t="s">
        <v>757</v>
      </c>
      <c r="D113" s="13" t="s">
        <v>749</v>
      </c>
      <c r="E113" s="13" t="s">
        <v>750</v>
      </c>
      <c r="F113" s="13" t="s">
        <v>815</v>
      </c>
      <c r="G113" s="16"/>
      <c r="H113" s="17" t="e">
        <f>#REF!</f>
        <v>#REF!</v>
      </c>
      <c r="I113" s="16"/>
      <c r="J113" s="13" t="e">
        <f>#REF!</f>
        <v>#REF!</v>
      </c>
      <c r="K113" s="13"/>
      <c r="L113" s="16"/>
      <c r="M113" s="13" t="s">
        <v>778</v>
      </c>
      <c r="N113" s="13" t="s">
        <v>752</v>
      </c>
      <c r="O113" s="18"/>
      <c r="P113" s="22"/>
      <c r="T113" s="19"/>
      <c r="U113" s="20" t="e">
        <f>#REF!</f>
        <v>#REF!</v>
      </c>
      <c r="V113" s="16"/>
      <c r="W113" s="16"/>
      <c r="X113" s="13"/>
      <c r="Y113" s="16"/>
    </row>
    <row r="114" spans="1:25">
      <c r="A114" s="13" t="s">
        <v>927</v>
      </c>
      <c r="B114" s="16" t="e">
        <f>#REF!</f>
        <v>#REF!</v>
      </c>
      <c r="C114" s="13" t="s">
        <v>757</v>
      </c>
      <c r="D114" s="13" t="s">
        <v>749</v>
      </c>
      <c r="E114" s="13" t="s">
        <v>750</v>
      </c>
      <c r="F114" s="13" t="s">
        <v>815</v>
      </c>
      <c r="G114" s="16"/>
      <c r="H114" s="17" t="e">
        <f>#REF!</f>
        <v>#REF!</v>
      </c>
      <c r="I114" s="16"/>
      <c r="J114" s="13" t="e">
        <f>#REF!</f>
        <v>#REF!</v>
      </c>
      <c r="K114" s="13"/>
      <c r="L114" s="16"/>
      <c r="M114" s="13" t="s">
        <v>778</v>
      </c>
      <c r="N114" s="13" t="s">
        <v>752</v>
      </c>
      <c r="O114" s="18"/>
      <c r="P114" s="18"/>
      <c r="T114" s="19"/>
      <c r="U114" s="20" t="e">
        <f>#REF!</f>
        <v>#REF!</v>
      </c>
      <c r="V114" s="16"/>
      <c r="W114" s="16"/>
      <c r="X114" s="13"/>
      <c r="Y114" s="16"/>
    </row>
    <row r="115" spans="1:25">
      <c r="A115" s="13" t="s">
        <v>928</v>
      </c>
      <c r="B115" s="16" t="e">
        <f>#REF!</f>
        <v>#REF!</v>
      </c>
      <c r="C115" s="13" t="s">
        <v>757</v>
      </c>
      <c r="D115" s="13" t="s">
        <v>749</v>
      </c>
      <c r="E115" s="13" t="s">
        <v>750</v>
      </c>
      <c r="F115" s="13" t="s">
        <v>815</v>
      </c>
      <c r="G115" s="16"/>
      <c r="H115" s="17" t="e">
        <f>#REF!</f>
        <v>#REF!</v>
      </c>
      <c r="I115" s="16"/>
      <c r="J115" s="13" t="e">
        <f>#REF!</f>
        <v>#REF!</v>
      </c>
      <c r="K115" s="13"/>
      <c r="L115" s="16"/>
      <c r="M115" s="13" t="s">
        <v>778</v>
      </c>
      <c r="N115" s="13" t="s">
        <v>752</v>
      </c>
      <c r="O115" s="18"/>
      <c r="P115" s="18"/>
      <c r="T115" s="19"/>
      <c r="U115" s="20" t="e">
        <f>#REF!</f>
        <v>#REF!</v>
      </c>
      <c r="V115" s="16"/>
      <c r="W115" s="16"/>
      <c r="X115" s="13"/>
      <c r="Y115" s="16"/>
    </row>
    <row r="116" spans="1:25">
      <c r="A116" s="13" t="s">
        <v>929</v>
      </c>
      <c r="B116" s="16" t="e">
        <f>#REF!</f>
        <v>#REF!</v>
      </c>
      <c r="C116" s="13" t="s">
        <v>757</v>
      </c>
      <c r="D116" s="13" t="s">
        <v>749</v>
      </c>
      <c r="E116" s="13" t="s">
        <v>750</v>
      </c>
      <c r="F116" s="13" t="s">
        <v>815</v>
      </c>
      <c r="G116" s="16"/>
      <c r="H116" s="17" t="e">
        <f>#REF!</f>
        <v>#REF!</v>
      </c>
      <c r="I116" s="16"/>
      <c r="J116" s="13" t="e">
        <f>#REF!</f>
        <v>#REF!</v>
      </c>
      <c r="K116" s="13"/>
      <c r="L116" s="16"/>
      <c r="M116" s="13" t="s">
        <v>778</v>
      </c>
      <c r="N116" s="13" t="s">
        <v>752</v>
      </c>
      <c r="O116" s="18"/>
      <c r="P116" s="18"/>
      <c r="T116" s="19"/>
      <c r="U116" s="20" t="e">
        <f>#REF!</f>
        <v>#REF!</v>
      </c>
      <c r="V116" s="16"/>
      <c r="W116" s="16"/>
      <c r="X116" s="13"/>
      <c r="Y116" s="16"/>
    </row>
    <row r="117" spans="1:25">
      <c r="A117" s="13" t="s">
        <v>930</v>
      </c>
      <c r="B117" s="16" t="e">
        <f>#REF!</f>
        <v>#REF!</v>
      </c>
      <c r="C117" s="13" t="s">
        <v>757</v>
      </c>
      <c r="D117" s="13" t="s">
        <v>749</v>
      </c>
      <c r="E117" s="13" t="s">
        <v>750</v>
      </c>
      <c r="F117" s="13" t="s">
        <v>815</v>
      </c>
      <c r="G117" s="16"/>
      <c r="H117" s="17" t="e">
        <f>#REF!</f>
        <v>#REF!</v>
      </c>
      <c r="I117" s="16"/>
      <c r="J117" s="13" t="e">
        <f>#REF!</f>
        <v>#REF!</v>
      </c>
      <c r="K117" s="13"/>
      <c r="L117" s="16"/>
      <c r="M117" s="13" t="s">
        <v>778</v>
      </c>
      <c r="N117" s="13" t="s">
        <v>752</v>
      </c>
      <c r="O117" s="18"/>
      <c r="P117" s="18"/>
      <c r="T117" s="19"/>
      <c r="U117" s="20" t="e">
        <f>#REF!</f>
        <v>#REF!</v>
      </c>
      <c r="V117" s="16"/>
      <c r="W117" s="16"/>
      <c r="X117" s="13"/>
      <c r="Y117" s="16"/>
    </row>
    <row r="118" spans="1:25">
      <c r="A118" s="13" t="s">
        <v>931</v>
      </c>
      <c r="B118" s="16" t="e">
        <f>#REF!</f>
        <v>#REF!</v>
      </c>
      <c r="C118" s="13" t="s">
        <v>757</v>
      </c>
      <c r="D118" s="13" t="s">
        <v>749</v>
      </c>
      <c r="E118" s="13" t="s">
        <v>750</v>
      </c>
      <c r="F118" s="13" t="s">
        <v>815</v>
      </c>
      <c r="G118" s="16"/>
      <c r="H118" s="17" t="e">
        <f>#REF!</f>
        <v>#REF!</v>
      </c>
      <c r="I118" s="16"/>
      <c r="J118" s="13" t="e">
        <f>#REF!</f>
        <v>#REF!</v>
      </c>
      <c r="K118" s="13"/>
      <c r="L118" s="16"/>
      <c r="M118" s="13" t="s">
        <v>778</v>
      </c>
      <c r="N118" s="13" t="s">
        <v>752</v>
      </c>
      <c r="O118" s="18"/>
      <c r="P118" s="18"/>
      <c r="T118" s="19"/>
      <c r="U118" s="20" t="e">
        <f>#REF!</f>
        <v>#REF!</v>
      </c>
      <c r="V118" s="16"/>
      <c r="W118" s="16"/>
      <c r="X118" s="13"/>
      <c r="Y118" s="16"/>
    </row>
    <row r="119" spans="1:25">
      <c r="A119" s="13" t="s">
        <v>932</v>
      </c>
      <c r="B119" s="16" t="e">
        <f>#REF!</f>
        <v>#REF!</v>
      </c>
      <c r="C119" s="13" t="s">
        <v>757</v>
      </c>
      <c r="D119" s="13" t="s">
        <v>749</v>
      </c>
      <c r="E119" s="13" t="s">
        <v>750</v>
      </c>
      <c r="F119" s="13" t="s">
        <v>815</v>
      </c>
      <c r="G119" s="16"/>
      <c r="H119" s="17" t="e">
        <f>#REF!</f>
        <v>#REF!</v>
      </c>
      <c r="I119" s="16"/>
      <c r="J119" s="13" t="e">
        <f>#REF!</f>
        <v>#REF!</v>
      </c>
      <c r="K119" s="13"/>
      <c r="L119" s="16"/>
      <c r="M119" s="13" t="s">
        <v>778</v>
      </c>
      <c r="N119" s="13" t="s">
        <v>752</v>
      </c>
      <c r="O119" s="22"/>
      <c r="P119" s="18"/>
      <c r="T119" s="19"/>
      <c r="U119" s="20" t="e">
        <f>#REF!</f>
        <v>#REF!</v>
      </c>
      <c r="V119" s="16"/>
      <c r="W119" s="16"/>
      <c r="X119" s="13"/>
      <c r="Y119" s="16"/>
    </row>
    <row r="120" spans="1:25">
      <c r="A120" s="13" t="s">
        <v>933</v>
      </c>
      <c r="B120" s="16" t="e">
        <f>#REF!</f>
        <v>#REF!</v>
      </c>
      <c r="C120" s="13" t="s">
        <v>757</v>
      </c>
      <c r="D120" s="13" t="s">
        <v>749</v>
      </c>
      <c r="E120" s="13" t="s">
        <v>750</v>
      </c>
      <c r="F120" s="13" t="s">
        <v>815</v>
      </c>
      <c r="G120" s="16"/>
      <c r="H120" s="17" t="e">
        <f>#REF!</f>
        <v>#REF!</v>
      </c>
      <c r="I120" s="16"/>
      <c r="J120" s="13" t="e">
        <f>#REF!</f>
        <v>#REF!</v>
      </c>
      <c r="K120" s="13"/>
      <c r="L120" s="16"/>
      <c r="M120" s="13" t="s">
        <v>778</v>
      </c>
      <c r="N120" s="13" t="s">
        <v>752</v>
      </c>
      <c r="O120" s="18"/>
      <c r="P120" s="18"/>
      <c r="T120" s="19"/>
      <c r="U120" s="20" t="e">
        <f>#REF!</f>
        <v>#REF!</v>
      </c>
      <c r="V120" s="16"/>
      <c r="W120" s="16"/>
      <c r="X120" s="13"/>
      <c r="Y120" s="16"/>
    </row>
    <row r="121" spans="1:25">
      <c r="A121" s="13" t="s">
        <v>934</v>
      </c>
      <c r="B121" s="16" t="e">
        <f>#REF!</f>
        <v>#REF!</v>
      </c>
      <c r="C121" s="13" t="s">
        <v>757</v>
      </c>
      <c r="D121" s="13" t="s">
        <v>749</v>
      </c>
      <c r="E121" s="13" t="s">
        <v>750</v>
      </c>
      <c r="F121" s="13" t="s">
        <v>815</v>
      </c>
      <c r="G121" s="16"/>
      <c r="H121" s="17" t="e">
        <f>#REF!</f>
        <v>#REF!</v>
      </c>
      <c r="I121" s="16"/>
      <c r="J121" s="13" t="e">
        <f>#REF!</f>
        <v>#REF!</v>
      </c>
      <c r="K121" s="13"/>
      <c r="L121" s="16"/>
      <c r="M121" s="13" t="s">
        <v>778</v>
      </c>
      <c r="N121" s="13" t="s">
        <v>752</v>
      </c>
      <c r="O121" s="18"/>
      <c r="P121" s="18"/>
      <c r="T121" s="19"/>
      <c r="U121" s="20" t="e">
        <f>#REF!</f>
        <v>#REF!</v>
      </c>
      <c r="V121" s="16"/>
      <c r="W121" s="16"/>
      <c r="X121" s="13"/>
      <c r="Y121" s="16"/>
    </row>
    <row r="122" spans="1:25">
      <c r="A122" s="13" t="s">
        <v>935</v>
      </c>
      <c r="B122" s="16" t="e">
        <f>#REF!</f>
        <v>#REF!</v>
      </c>
      <c r="C122" s="13" t="s">
        <v>757</v>
      </c>
      <c r="D122" s="13" t="s">
        <v>749</v>
      </c>
      <c r="E122" s="13" t="s">
        <v>750</v>
      </c>
      <c r="F122" s="13" t="s">
        <v>815</v>
      </c>
      <c r="G122" s="16"/>
      <c r="H122" s="17" t="e">
        <f>#REF!</f>
        <v>#REF!</v>
      </c>
      <c r="I122" s="16"/>
      <c r="J122" s="13" t="e">
        <f>#REF!</f>
        <v>#REF!</v>
      </c>
      <c r="K122" s="13"/>
      <c r="L122" s="16"/>
      <c r="M122" s="13" t="s">
        <v>778</v>
      </c>
      <c r="N122" s="13" t="s">
        <v>752</v>
      </c>
      <c r="O122" s="18"/>
      <c r="P122" s="18"/>
      <c r="T122" s="19"/>
      <c r="U122" s="20" t="e">
        <f>#REF!</f>
        <v>#REF!</v>
      </c>
      <c r="V122" s="16"/>
      <c r="W122" s="16"/>
      <c r="X122" s="13"/>
      <c r="Y122" s="16"/>
    </row>
    <row r="123" spans="1:25">
      <c r="A123" s="13" t="s">
        <v>936</v>
      </c>
      <c r="B123" s="16" t="e">
        <f>#REF!</f>
        <v>#REF!</v>
      </c>
      <c r="C123" s="13" t="s">
        <v>757</v>
      </c>
      <c r="D123" s="13" t="s">
        <v>749</v>
      </c>
      <c r="E123" s="13" t="s">
        <v>750</v>
      </c>
      <c r="F123" s="13" t="s">
        <v>815</v>
      </c>
      <c r="G123" s="16"/>
      <c r="H123" s="17" t="e">
        <f>#REF!</f>
        <v>#REF!</v>
      </c>
      <c r="I123" s="16"/>
      <c r="J123" s="13" t="e">
        <f>#REF!</f>
        <v>#REF!</v>
      </c>
      <c r="K123" s="13"/>
      <c r="L123" s="16"/>
      <c r="M123" s="13" t="s">
        <v>778</v>
      </c>
      <c r="N123" s="13" t="s">
        <v>752</v>
      </c>
      <c r="O123" s="18"/>
      <c r="P123" s="18"/>
      <c r="T123" s="19"/>
      <c r="U123" s="20" t="e">
        <f>#REF!</f>
        <v>#REF!</v>
      </c>
      <c r="V123" s="16"/>
      <c r="W123" s="16"/>
      <c r="X123" s="13"/>
      <c r="Y123" s="16"/>
    </row>
    <row r="124" spans="1:25">
      <c r="A124" s="13" t="s">
        <v>937</v>
      </c>
      <c r="B124" s="16"/>
      <c r="C124" s="13" t="s">
        <v>757</v>
      </c>
      <c r="D124" s="13" t="s">
        <v>749</v>
      </c>
      <c r="E124" s="13" t="s">
        <v>750</v>
      </c>
      <c r="F124" s="13" t="s">
        <v>815</v>
      </c>
      <c r="G124" s="16"/>
      <c r="H124" s="17" t="e">
        <f>#REF!</f>
        <v>#REF!</v>
      </c>
      <c r="I124" s="16"/>
      <c r="J124" s="13" t="e">
        <f>#REF!</f>
        <v>#REF!</v>
      </c>
      <c r="K124" s="13"/>
      <c r="L124" s="16"/>
      <c r="M124" s="13" t="s">
        <v>778</v>
      </c>
      <c r="N124" s="13" t="s">
        <v>752</v>
      </c>
      <c r="O124" s="18"/>
      <c r="P124" s="18"/>
      <c r="T124" s="19"/>
      <c r="U124" s="20" t="e">
        <f>#REF!</f>
        <v>#REF!</v>
      </c>
      <c r="V124" s="16"/>
      <c r="W124" s="16"/>
      <c r="X124" s="13"/>
      <c r="Y124" s="16"/>
    </row>
    <row r="125" spans="1:25">
      <c r="A125" s="13" t="s">
        <v>938</v>
      </c>
      <c r="B125" s="16"/>
      <c r="C125" s="13" t="s">
        <v>757</v>
      </c>
      <c r="D125" s="13" t="s">
        <v>749</v>
      </c>
      <c r="E125" s="13" t="s">
        <v>750</v>
      </c>
      <c r="F125" s="13" t="s">
        <v>815</v>
      </c>
      <c r="G125" s="16"/>
      <c r="H125" s="17" t="e">
        <f>#REF!</f>
        <v>#REF!</v>
      </c>
      <c r="I125" s="16"/>
      <c r="J125" s="13" t="e">
        <f>#REF!</f>
        <v>#REF!</v>
      </c>
      <c r="K125" s="13"/>
      <c r="L125" s="16"/>
      <c r="M125" s="13" t="s">
        <v>778</v>
      </c>
      <c r="N125" s="13" t="s">
        <v>752</v>
      </c>
      <c r="O125" s="18"/>
      <c r="P125" s="18"/>
      <c r="T125" s="19"/>
      <c r="U125" s="20" t="e">
        <f>#REF!</f>
        <v>#REF!</v>
      </c>
      <c r="V125" s="16"/>
      <c r="W125" s="16"/>
      <c r="X125" s="13"/>
      <c r="Y125" s="16"/>
    </row>
    <row r="126" spans="1:25">
      <c r="A126" s="13" t="s">
        <v>939</v>
      </c>
      <c r="B126" s="16"/>
      <c r="C126" s="13" t="s">
        <v>757</v>
      </c>
      <c r="D126" s="13" t="s">
        <v>749</v>
      </c>
      <c r="E126" s="13" t="s">
        <v>750</v>
      </c>
      <c r="F126" s="13" t="s">
        <v>815</v>
      </c>
      <c r="G126" s="16"/>
      <c r="H126" s="17" t="e">
        <f>#REF!</f>
        <v>#REF!</v>
      </c>
      <c r="I126" s="16"/>
      <c r="J126" s="13" t="e">
        <f>#REF!</f>
        <v>#REF!</v>
      </c>
      <c r="K126" s="13"/>
      <c r="L126" s="16"/>
      <c r="M126" s="13" t="s">
        <v>778</v>
      </c>
      <c r="N126" s="13" t="s">
        <v>752</v>
      </c>
      <c r="O126" s="18"/>
      <c r="P126" s="18"/>
      <c r="T126" s="19"/>
      <c r="U126" s="20" t="e">
        <f>#REF!</f>
        <v>#REF!</v>
      </c>
      <c r="V126" s="16"/>
      <c r="W126" s="16"/>
      <c r="X126" s="13"/>
      <c r="Y126" s="16"/>
    </row>
    <row r="127" spans="1:25">
      <c r="A127" s="13" t="s">
        <v>940</v>
      </c>
      <c r="B127" s="16"/>
      <c r="C127" s="13" t="s">
        <v>757</v>
      </c>
      <c r="D127" s="13" t="s">
        <v>749</v>
      </c>
      <c r="E127" s="13" t="s">
        <v>750</v>
      </c>
      <c r="F127" s="13" t="s">
        <v>815</v>
      </c>
      <c r="G127" s="16"/>
      <c r="H127" s="17" t="e">
        <f>#REF!</f>
        <v>#REF!</v>
      </c>
      <c r="I127" s="16"/>
      <c r="J127" s="13" t="e">
        <f>#REF!</f>
        <v>#REF!</v>
      </c>
      <c r="K127" s="13"/>
      <c r="L127" s="16"/>
      <c r="M127" s="13" t="s">
        <v>778</v>
      </c>
      <c r="N127" s="13" t="s">
        <v>752</v>
      </c>
      <c r="O127" s="18"/>
      <c r="P127" s="18"/>
      <c r="T127" s="19"/>
      <c r="U127" s="20" t="e">
        <f>#REF!</f>
        <v>#REF!</v>
      </c>
      <c r="V127" s="16"/>
      <c r="W127" s="16"/>
      <c r="X127" s="13"/>
      <c r="Y127" s="16"/>
    </row>
    <row r="128" spans="1:25">
      <c r="A128" s="13" t="s">
        <v>941</v>
      </c>
      <c r="B128" s="16"/>
      <c r="C128" s="13" t="s">
        <v>757</v>
      </c>
      <c r="D128" s="13" t="s">
        <v>749</v>
      </c>
      <c r="E128" s="13" t="s">
        <v>750</v>
      </c>
      <c r="F128" s="13" t="s">
        <v>815</v>
      </c>
      <c r="G128" s="16"/>
      <c r="H128" s="17" t="e">
        <f>#REF!</f>
        <v>#REF!</v>
      </c>
      <c r="I128" s="16"/>
      <c r="J128" s="13" t="e">
        <f>#REF!</f>
        <v>#REF!</v>
      </c>
      <c r="K128" s="13"/>
      <c r="L128" s="16"/>
      <c r="M128" s="13" t="s">
        <v>778</v>
      </c>
      <c r="N128" s="13" t="s">
        <v>752</v>
      </c>
      <c r="O128" s="18"/>
      <c r="P128" s="18"/>
      <c r="T128" s="19"/>
      <c r="U128" s="20" t="e">
        <f>#REF!</f>
        <v>#REF!</v>
      </c>
      <c r="V128" s="16"/>
      <c r="W128" s="16"/>
      <c r="X128" s="13"/>
      <c r="Y128" s="16"/>
    </row>
    <row r="129" spans="1:25">
      <c r="A129" s="13" t="s">
        <v>942</v>
      </c>
      <c r="B129" s="16"/>
      <c r="C129" s="13" t="s">
        <v>757</v>
      </c>
      <c r="D129" s="13" t="s">
        <v>749</v>
      </c>
      <c r="E129" s="13" t="s">
        <v>750</v>
      </c>
      <c r="F129" s="13" t="s">
        <v>815</v>
      </c>
      <c r="G129" s="16"/>
      <c r="H129" s="17" t="e">
        <f>#REF!</f>
        <v>#REF!</v>
      </c>
      <c r="I129" s="16"/>
      <c r="J129" s="13" t="e">
        <f>#REF!</f>
        <v>#REF!</v>
      </c>
      <c r="K129" s="13"/>
      <c r="L129" s="16"/>
      <c r="M129" s="13" t="s">
        <v>778</v>
      </c>
      <c r="N129" s="13" t="s">
        <v>752</v>
      </c>
      <c r="O129" s="18"/>
      <c r="P129" s="18"/>
      <c r="T129" s="19"/>
      <c r="U129" s="20" t="e">
        <f>#REF!</f>
        <v>#REF!</v>
      </c>
      <c r="V129" s="16"/>
      <c r="W129" s="16"/>
      <c r="X129" s="13"/>
      <c r="Y129" s="16"/>
    </row>
    <row r="130" spans="1:25">
      <c r="A130" s="13" t="s">
        <v>943</v>
      </c>
      <c r="B130" s="16"/>
      <c r="C130" s="13" t="s">
        <v>757</v>
      </c>
      <c r="D130" s="13" t="s">
        <v>749</v>
      </c>
      <c r="E130" s="13" t="s">
        <v>750</v>
      </c>
      <c r="F130" s="13" t="s">
        <v>815</v>
      </c>
      <c r="G130" s="16"/>
      <c r="H130" s="17" t="e">
        <f>#REF!</f>
        <v>#REF!</v>
      </c>
      <c r="I130" s="16"/>
      <c r="J130" s="13" t="e">
        <f>#REF!</f>
        <v>#REF!</v>
      </c>
      <c r="K130" s="13"/>
      <c r="L130" s="16"/>
      <c r="M130" s="13" t="s">
        <v>778</v>
      </c>
      <c r="N130" s="13" t="s">
        <v>752</v>
      </c>
      <c r="O130" s="18"/>
      <c r="P130" s="22"/>
      <c r="T130" s="19"/>
      <c r="U130" s="20" t="e">
        <f>#REF!</f>
        <v>#REF!</v>
      </c>
      <c r="V130" s="16"/>
      <c r="W130" s="16"/>
      <c r="X130" s="13"/>
      <c r="Y130" s="16"/>
    </row>
    <row r="131" spans="1:25">
      <c r="A131" s="13" t="s">
        <v>944</v>
      </c>
      <c r="B131" s="16"/>
      <c r="C131" s="13" t="s">
        <v>757</v>
      </c>
      <c r="D131" s="13" t="s">
        <v>749</v>
      </c>
      <c r="E131" s="13" t="s">
        <v>750</v>
      </c>
      <c r="F131" s="13" t="s">
        <v>815</v>
      </c>
      <c r="G131" s="16"/>
      <c r="H131" s="17" t="e">
        <f>#REF!</f>
        <v>#REF!</v>
      </c>
      <c r="I131" s="16"/>
      <c r="J131" s="13" t="e">
        <f>#REF!</f>
        <v>#REF!</v>
      </c>
      <c r="K131" s="13"/>
      <c r="L131" s="16"/>
      <c r="M131" s="13" t="s">
        <v>778</v>
      </c>
      <c r="N131" s="13" t="s">
        <v>752</v>
      </c>
      <c r="O131" s="18"/>
      <c r="P131" s="18"/>
      <c r="T131" s="19"/>
      <c r="U131" s="20" t="e">
        <f>#REF!</f>
        <v>#REF!</v>
      </c>
      <c r="V131" s="16"/>
      <c r="W131" s="16"/>
      <c r="X131" s="13"/>
      <c r="Y131" s="16"/>
    </row>
    <row r="132" spans="1:25">
      <c r="A132" s="13" t="s">
        <v>945</v>
      </c>
      <c r="B132" s="16"/>
      <c r="C132" s="13" t="s">
        <v>757</v>
      </c>
      <c r="D132" s="13" t="s">
        <v>749</v>
      </c>
      <c r="E132" s="13" t="s">
        <v>750</v>
      </c>
      <c r="F132" s="13" t="s">
        <v>815</v>
      </c>
      <c r="G132" s="16"/>
      <c r="H132" s="17" t="e">
        <f>#REF!</f>
        <v>#REF!</v>
      </c>
      <c r="I132" s="16"/>
      <c r="J132" s="13" t="e">
        <f>#REF!</f>
        <v>#REF!</v>
      </c>
      <c r="K132" s="13"/>
      <c r="L132" s="16"/>
      <c r="M132" s="13" t="s">
        <v>778</v>
      </c>
      <c r="N132" s="13" t="s">
        <v>752</v>
      </c>
      <c r="O132" s="18"/>
      <c r="P132" s="18"/>
      <c r="T132" s="19"/>
      <c r="U132" s="20" t="e">
        <f>#REF!</f>
        <v>#REF!</v>
      </c>
      <c r="V132" s="16"/>
      <c r="W132" s="16"/>
      <c r="X132" s="13"/>
      <c r="Y132" s="16"/>
    </row>
    <row r="133" spans="1:25">
      <c r="A133" s="13" t="s">
        <v>946</v>
      </c>
      <c r="B133" s="16"/>
      <c r="C133" s="13" t="s">
        <v>757</v>
      </c>
      <c r="D133" s="13" t="s">
        <v>749</v>
      </c>
      <c r="E133" s="13" t="s">
        <v>750</v>
      </c>
      <c r="F133" s="13" t="s">
        <v>815</v>
      </c>
      <c r="G133" s="16"/>
      <c r="H133" s="17" t="e">
        <f>#REF!</f>
        <v>#REF!</v>
      </c>
      <c r="I133" s="16"/>
      <c r="J133" s="13" t="e">
        <f>#REF!</f>
        <v>#REF!</v>
      </c>
      <c r="K133" s="13"/>
      <c r="L133" s="16"/>
      <c r="M133" s="13" t="s">
        <v>778</v>
      </c>
      <c r="N133" s="13" t="s">
        <v>752</v>
      </c>
      <c r="O133" s="18"/>
      <c r="P133" s="18"/>
      <c r="T133" s="19"/>
      <c r="U133" s="20" t="e">
        <f>#REF!</f>
        <v>#REF!</v>
      </c>
      <c r="V133" s="16"/>
      <c r="W133" s="16"/>
      <c r="X133" s="13"/>
      <c r="Y133" s="16"/>
    </row>
    <row r="134" spans="1:25">
      <c r="A134" s="13" t="s">
        <v>947</v>
      </c>
      <c r="B134" s="16"/>
      <c r="C134" s="13" t="s">
        <v>757</v>
      </c>
      <c r="D134" s="13" t="s">
        <v>749</v>
      </c>
      <c r="E134" s="13" t="s">
        <v>750</v>
      </c>
      <c r="F134" s="13" t="s">
        <v>815</v>
      </c>
      <c r="G134" s="16"/>
      <c r="H134" s="17" t="e">
        <f>#REF!</f>
        <v>#REF!</v>
      </c>
      <c r="I134" s="16"/>
      <c r="J134" s="13" t="e">
        <f>#REF!</f>
        <v>#REF!</v>
      </c>
      <c r="K134" s="13"/>
      <c r="L134" s="16"/>
      <c r="M134" s="13" t="s">
        <v>778</v>
      </c>
      <c r="N134" s="13" t="s">
        <v>752</v>
      </c>
      <c r="O134" s="18"/>
      <c r="P134" s="18"/>
      <c r="T134" s="19"/>
      <c r="U134" s="20" t="e">
        <f>#REF!</f>
        <v>#REF!</v>
      </c>
      <c r="V134" s="16"/>
      <c r="W134" s="16"/>
      <c r="X134" s="13"/>
      <c r="Y134" s="16"/>
    </row>
    <row r="135" spans="1:25">
      <c r="A135" s="13" t="s">
        <v>948</v>
      </c>
      <c r="B135" s="16"/>
      <c r="C135" s="13" t="s">
        <v>757</v>
      </c>
      <c r="D135" s="13" t="s">
        <v>749</v>
      </c>
      <c r="E135" s="13" t="s">
        <v>750</v>
      </c>
      <c r="F135" s="13" t="s">
        <v>815</v>
      </c>
      <c r="G135" s="16"/>
      <c r="H135" s="17" t="e">
        <f>#REF!</f>
        <v>#REF!</v>
      </c>
      <c r="I135" s="16"/>
      <c r="J135" s="13" t="e">
        <f>#REF!</f>
        <v>#REF!</v>
      </c>
      <c r="K135" s="13"/>
      <c r="L135" s="16"/>
      <c r="M135" s="13" t="s">
        <v>778</v>
      </c>
      <c r="N135" s="13" t="s">
        <v>752</v>
      </c>
      <c r="O135" s="18"/>
      <c r="P135" s="18"/>
      <c r="T135" s="19"/>
      <c r="U135" s="20" t="e">
        <f>#REF!</f>
        <v>#REF!</v>
      </c>
      <c r="V135" s="16"/>
      <c r="W135" s="16"/>
      <c r="X135" s="13"/>
      <c r="Y135" s="16"/>
    </row>
    <row r="136" spans="1:25">
      <c r="A136" s="13" t="s">
        <v>949</v>
      </c>
      <c r="B136" s="16"/>
      <c r="C136" s="13" t="s">
        <v>757</v>
      </c>
      <c r="D136" s="13" t="s">
        <v>749</v>
      </c>
      <c r="E136" s="13" t="s">
        <v>750</v>
      </c>
      <c r="F136" s="13" t="s">
        <v>815</v>
      </c>
      <c r="G136" s="16"/>
      <c r="H136" s="17" t="e">
        <f>#REF!</f>
        <v>#REF!</v>
      </c>
      <c r="I136" s="16"/>
      <c r="J136" s="13" t="e">
        <f>#REF!</f>
        <v>#REF!</v>
      </c>
      <c r="K136" s="13"/>
      <c r="L136" s="16"/>
      <c r="M136" s="13" t="s">
        <v>778</v>
      </c>
      <c r="N136" s="13" t="s">
        <v>752</v>
      </c>
      <c r="O136" s="18"/>
      <c r="P136" s="18"/>
      <c r="T136" s="19"/>
      <c r="U136" s="20" t="e">
        <f>#REF!</f>
        <v>#REF!</v>
      </c>
      <c r="V136" s="16"/>
      <c r="W136" s="16"/>
      <c r="X136" s="13"/>
      <c r="Y136" s="16"/>
    </row>
  </sheetData>
  <conditionalFormatting sqref="N2:N136">
    <cfRule type="cellIs" dxfId="18" priority="1" stopIfTrue="1" operator="equal">
      <formula>"Pass"</formula>
    </cfRule>
    <cfRule type="cellIs" dxfId="17" priority="2" stopIfTrue="1" operator="equal">
      <formula>"Fail"</formula>
    </cfRule>
    <cfRule type="cellIs" dxfId="16" priority="3" stopIfTrue="1" operator="equal">
      <formula>"Blocked"</formula>
    </cfRule>
    <cfRule type="cellIs" dxfId="15" priority="4" stopIfTrue="1" operator="equal">
      <formula>"Not Run"</formula>
    </cfRule>
  </conditionalFormatting>
  <conditionalFormatting sqref="Q2:Q1048576">
    <cfRule type="cellIs" dxfId="14" priority="8" stopIfTrue="1" operator="equal">
      <formula>"Critical"</formula>
    </cfRule>
    <cfRule type="cellIs" dxfId="13" priority="9" stopIfTrue="1" operator="equal">
      <formula>"High"</formula>
    </cfRule>
    <cfRule type="cellIs" dxfId="12" priority="10" stopIfTrue="1" operator="equal">
      <formula>"Medium"</formula>
    </cfRule>
    <cfRule type="cellIs" dxfId="11" priority="11" stopIfTrue="1" operator="equal">
      <formula>"Low"</formula>
    </cfRule>
  </conditionalFormatting>
  <conditionalFormatting sqref="S2:S1048576">
    <cfRule type="cellIs" dxfId="10" priority="5" stopIfTrue="1" operator="equal">
      <formula>"Covered"</formula>
    </cfRule>
    <cfRule type="cellIs" dxfId="9" priority="6" stopIfTrue="1" operator="equal">
      <formula>"Partial"</formula>
    </cfRule>
    <cfRule type="cellIs" dxfId="8" priority="7" stopIfTrue="1" operator="equal">
      <formula>"Gap"</formula>
    </cfRule>
  </conditionalFormatting>
  <dataValidations count="9">
    <dataValidation type="list" allowBlank="1" showInputMessage="1" showErrorMessage="1" sqref="C2:C136" xr:uid="{00000000-0002-0000-0800-000000000000}">
      <formula1>"BR - Bisnis, FR - Fungsional, NFR - Non-Fungsional, Regulatory/Compliance, Lainnya"</formula1>
    </dataValidation>
    <dataValidation type="list" allowBlank="1" showInputMessage="1" showErrorMessage="1" sqref="D2:D136" xr:uid="{00000000-0002-0000-0800-000001000000}">
      <formula1>"Must have, Should have, Could have, Won't have, High, Medium, Low"</formula1>
    </dataValidation>
    <dataValidation type="list" allowBlank="1" showInputMessage="1" showErrorMessage="1" sqref="E2:E136" xr:uid="{00000000-0002-0000-0800-000002000000}">
      <formula1>"BRD, FRD, CR, Regulasi, RFC, User Story, Epic"</formula1>
    </dataValidation>
    <dataValidation type="list" allowBlank="1" showInputMessage="1" showErrorMessage="1" sqref="M2:M136" xr:uid="{00000000-0002-0000-0800-000003000000}">
      <formula1>"SIT1, SIT2, SIT3, UAT1, UAT2, Regression, Smoke"</formula1>
    </dataValidation>
    <dataValidation type="list" allowBlank="1" showInputMessage="1" showErrorMessage="1" sqref="N2:N136" xr:uid="{00000000-0002-0000-0800-000004000000}">
      <formula1>"Not Run, Pass, Fail, Blocked"</formula1>
    </dataValidation>
    <dataValidation type="list" allowBlank="1" showInputMessage="1" showErrorMessage="1" sqref="Q2:Q1048576" xr:uid="{00000000-0002-0000-0800-000005000000}">
      <formula1>"Critical, High,Medium, Low, Trivial"</formula1>
    </dataValidation>
    <dataValidation type="list" allowBlank="1" showInputMessage="1" showErrorMessage="1" sqref="R2:R1048576" xr:uid="{00000000-0002-0000-0800-000006000000}">
      <formula1>"Open, In Progress, Fixed, Verified, Closed, Deferred, Rejected, Duplicate"</formula1>
    </dataValidation>
    <dataValidation type="list" allowBlank="1" showInputMessage="1" showErrorMessage="1" sqref="S2:S1048576" xr:uid="{00000000-0002-0000-0800-000007000000}">
      <formula1>"Covered, Partial, Gap"</formula1>
    </dataValidation>
    <dataValidation type="list" allowBlank="1" showInputMessage="1" showErrorMessage="1" sqref="X2:X136" xr:uid="{00000000-0002-0000-0800-000008000000}">
      <formula1>"Perfomance, Security, Realibility, Availability, Maintainability, Compatibility, Usability, Scalability, Compliance"</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theme="8" tint="0.59999389629810485"/>
  </sheetPr>
  <dimension ref="A1:F85"/>
  <sheetViews>
    <sheetView topLeftCell="A50" zoomScale="85" zoomScaleNormal="85" workbookViewId="0">
      <selection activeCell="G71" sqref="G71"/>
    </sheetView>
  </sheetViews>
  <sheetFormatPr defaultColWidth="9.109375" defaultRowHeight="13.8"/>
  <cols>
    <col min="1" max="1" width="22" style="1" customWidth="1"/>
    <col min="2" max="2" width="21.109375" style="1" customWidth="1"/>
    <col min="3" max="6" width="22" style="1" customWidth="1"/>
    <col min="7" max="16384" width="9.109375" style="1"/>
  </cols>
  <sheetData>
    <row r="1" spans="1:6">
      <c r="A1" s="2" t="s">
        <v>950</v>
      </c>
    </row>
    <row r="3" spans="1:6">
      <c r="A3" s="2" t="s">
        <v>951</v>
      </c>
      <c r="B3" s="2" t="s">
        <v>952</v>
      </c>
      <c r="C3" s="2" t="s">
        <v>953</v>
      </c>
      <c r="D3" s="2" t="s">
        <v>954</v>
      </c>
      <c r="E3" s="2" t="s">
        <v>955</v>
      </c>
      <c r="F3" s="2" t="s">
        <v>956</v>
      </c>
    </row>
    <row r="4" spans="1:6">
      <c r="A4" s="3">
        <f>COUNTIF(RTM!$A$2:$A$995,"&lt;&gt;")</f>
        <v>135</v>
      </c>
      <c r="B4" s="4">
        <f>COUNTIFS(RTM!$A$2:$A$995,"&lt;&gt;",RTM!$K$2:$K$995,"&lt;&gt;")</f>
        <v>0</v>
      </c>
      <c r="C4" s="5">
        <f>IFERROR(B4/A4,0)</f>
        <v>0</v>
      </c>
      <c r="D4" s="6">
        <f>IFERROR(D5/(D5+D6+D7),0)</f>
        <v>0</v>
      </c>
      <c r="E4" s="7">
        <f>COUNTIFS(RTM!$P$2:$P$995,"&lt;&gt;",RTM!$Q$2:$Q$995,"Critical",RTM!$R$2:$R$995,"Open")+COUNTIFS(RTM!$P$2:$P$995,"&lt;&gt;",RTM!$Q$2:$Q$995,"Critical",RTM!$R$2:$R$995,"In Progress")+COUNTIFS(RTM!$P$2:$P$995,"&lt;&gt;",RTM!$Q$2:$Q$995,"High",RTM!$R$2:$R$995,"Open")+COUNTIFS(RTM!$P$2:$P$995,"&lt;&gt;",RTM!$Q$2:$Q$995,"High",RTM!$R$2:$R$995,"In Progress")</f>
        <v>0</v>
      </c>
      <c r="F4" s="8">
        <f>COUNTIFS(RTM!$A$2:$A$995,"&lt;&gt;",RTM!$K$2:$K$995,"")</f>
        <v>135</v>
      </c>
    </row>
    <row r="5" spans="1:6">
      <c r="D5" s="1">
        <f>COUNTIFS(RTM!$A$2:$A$995,"&lt;&gt;",RTM!$N$2:$N$995,"Pass")</f>
        <v>0</v>
      </c>
    </row>
    <row r="6" spans="1:6">
      <c r="D6" s="1">
        <f>COUNTIFS(RTM!$A$2:$A$995,"&lt;&gt;",RTM!$N$2:$N$995,"Fail")</f>
        <v>0</v>
      </c>
    </row>
    <row r="7" spans="1:6">
      <c r="D7" s="1">
        <f>COUNTIFS(RTM!$A$2:$A$995,"&lt;&gt;",RTM!$N$2:$N$995,"Blocked")</f>
        <v>0</v>
      </c>
    </row>
    <row r="10" spans="1:6">
      <c r="A10" s="2" t="s">
        <v>957</v>
      </c>
    </row>
    <row r="11" spans="1:6">
      <c r="A11" s="1" t="s">
        <v>707</v>
      </c>
      <c r="B11" s="1" t="s">
        <v>958</v>
      </c>
    </row>
    <row r="12" spans="1:6">
      <c r="A12" s="1" t="s">
        <v>755</v>
      </c>
      <c r="B12" s="1">
        <f>COUNTIFS(RTM!$A$2:$A$995,"&lt;&gt;",RTM!$S$2:$S$995,"Covered")</f>
        <v>0</v>
      </c>
    </row>
    <row r="13" spans="1:6">
      <c r="A13" s="1" t="s">
        <v>764</v>
      </c>
      <c r="B13" s="1">
        <f>COUNTIFS(RTM!$A$2:$A$995,"&lt;&gt;",RTM!$S$2:$S$995,"Partial")</f>
        <v>0</v>
      </c>
    </row>
    <row r="14" spans="1:6">
      <c r="A14" s="1" t="s">
        <v>773</v>
      </c>
      <c r="B14" s="1">
        <f>COUNTIFS(RTM!$A$2:$A$995,"&lt;&gt;",RTM!$S$2:$S$995,"Gap")</f>
        <v>0</v>
      </c>
    </row>
    <row r="29" spans="1:2">
      <c r="A29" s="2" t="s">
        <v>959</v>
      </c>
    </row>
    <row r="30" spans="1:2">
      <c r="A30" s="1" t="s">
        <v>707</v>
      </c>
      <c r="B30" s="1" t="s">
        <v>958</v>
      </c>
    </row>
    <row r="31" spans="1:2">
      <c r="A31" s="1" t="s">
        <v>761</v>
      </c>
      <c r="B31" s="1">
        <f>COUNTIFS(RTM!$A$2:$A$995,"&lt;&gt;",RTM!$N$2:$N$995,"Pass")</f>
        <v>0</v>
      </c>
    </row>
    <row r="32" spans="1:2">
      <c r="A32" s="1" t="s">
        <v>770</v>
      </c>
      <c r="B32" s="1">
        <f>COUNTIFS(RTM!$A$2:$A$995,"&lt;&gt;",RTM!$N$2:$N$995,"Fail")</f>
        <v>0</v>
      </c>
    </row>
    <row r="33" spans="1:2">
      <c r="A33" s="1" t="s">
        <v>779</v>
      </c>
      <c r="B33" s="1">
        <f>COUNTIFS(RTM!$A$2:$A$995,"&lt;&gt;",RTM!$N$2:$N$995,"Blocked")</f>
        <v>0</v>
      </c>
    </row>
    <row r="34" spans="1:2">
      <c r="A34" s="1" t="s">
        <v>752</v>
      </c>
      <c r="B34" s="1">
        <f>COUNTIFS(RTM!$A$2:$A$995,"&lt;&gt;",RTM!$N$2:$N$995,"Not Run")</f>
        <v>135</v>
      </c>
    </row>
    <row r="49" spans="1:2">
      <c r="A49" s="2" t="s">
        <v>960</v>
      </c>
    </row>
    <row r="50" spans="1:2">
      <c r="A50" s="1" t="s">
        <v>713</v>
      </c>
      <c r="B50" s="1" t="s">
        <v>958</v>
      </c>
    </row>
    <row r="51" spans="1:2">
      <c r="A51" s="1" t="s">
        <v>753</v>
      </c>
      <c r="B51" s="1">
        <f>COUNTIFS(RTM!$P$2:$P$995,"&lt;&gt;",RTM!$Q$2:$Q$995,"Critical")</f>
        <v>0</v>
      </c>
    </row>
    <row r="52" spans="1:2">
      <c r="A52" s="1" t="s">
        <v>762</v>
      </c>
      <c r="B52" s="1">
        <f>COUNTIFS(RTM!$P$2:$P$995,"&lt;&gt;",RTM!$Q$2:$Q$995,"High")</f>
        <v>0</v>
      </c>
    </row>
    <row r="53" spans="1:2">
      <c r="A53" s="1" t="s">
        <v>771</v>
      </c>
      <c r="B53" s="1">
        <f>COUNTIFS(RTM!$P$2:$P$995,"&lt;&gt;",RTM!$Q$2:$Q$995,"Medium")</f>
        <v>0</v>
      </c>
    </row>
    <row r="54" spans="1:2">
      <c r="A54" s="1" t="s">
        <v>780</v>
      </c>
      <c r="B54" s="1">
        <f>COUNTIFS(RTM!$P$2:$P$995,"&lt;&gt;",RTM!$Q$2:$Q$995,"Low")</f>
        <v>0</v>
      </c>
    </row>
    <row r="55" spans="1:2">
      <c r="A55" s="1" t="s">
        <v>785</v>
      </c>
      <c r="B55" s="1">
        <f>COUNTIFS(RTM!$P$2:$P$995,"&lt;&gt;",RTM!$Q$2:$Q$995,"Trivial")</f>
        <v>0</v>
      </c>
    </row>
    <row r="57" spans="1:2" ht="55.2">
      <c r="A57" s="9" t="s">
        <v>961</v>
      </c>
    </row>
    <row r="69" spans="1:4">
      <c r="A69" s="2" t="s">
        <v>962</v>
      </c>
    </row>
    <row r="70" spans="1:4">
      <c r="A70" s="2" t="s">
        <v>963</v>
      </c>
      <c r="B70" s="2" t="s">
        <v>964</v>
      </c>
      <c r="C70" s="2" t="s">
        <v>965</v>
      </c>
      <c r="D70" s="2" t="s">
        <v>707</v>
      </c>
    </row>
    <row r="71" spans="1:4">
      <c r="A71" s="10" t="s">
        <v>966</v>
      </c>
      <c r="B71" s="10" t="s">
        <v>967</v>
      </c>
      <c r="C71" s="10">
        <f>C4</f>
        <v>0</v>
      </c>
      <c r="D71" s="10" t="str">
        <f>IF(C4&gt;=1,"OK","Belum OK")</f>
        <v>Belum OK</v>
      </c>
    </row>
    <row r="72" spans="1:4">
      <c r="A72" s="10" t="s">
        <v>968</v>
      </c>
      <c r="B72" s="10" t="s">
        <v>969</v>
      </c>
      <c r="C72" s="10">
        <f>D4</f>
        <v>0</v>
      </c>
      <c r="D72" s="10" t="str">
        <f>IF(D4&gt;=0.95,"OK","Belum OK")</f>
        <v>Belum OK</v>
      </c>
    </row>
    <row r="73" spans="1:4">
      <c r="A73" s="10" t="s">
        <v>970</v>
      </c>
      <c r="B73" s="10">
        <f>0</f>
        <v>0</v>
      </c>
      <c r="C73" s="10">
        <f>E4</f>
        <v>0</v>
      </c>
      <c r="D73" s="10" t="str">
        <f>IF(E4=0,"OK","Belum OK")</f>
        <v>OK</v>
      </c>
    </row>
    <row r="74" spans="1:4">
      <c r="A74" s="10" t="s">
        <v>956</v>
      </c>
      <c r="B74" s="10">
        <f>0</f>
        <v>0</v>
      </c>
      <c r="C74" s="10">
        <f>F4</f>
        <v>135</v>
      </c>
      <c r="D74" s="10" t="str">
        <f>IF(F4=0,"OK","Belum OK")</f>
        <v>Belum OK</v>
      </c>
    </row>
    <row r="75" spans="1:4">
      <c r="A75" s="11" t="s">
        <v>971</v>
      </c>
      <c r="B75" s="10" t="s">
        <v>972</v>
      </c>
      <c r="C75" s="10"/>
      <c r="D75" s="11" t="str">
        <f>IF(COUNTIF(D71:D74,"OK")=ROWS(D71:D74),"GO","NO-GO")</f>
        <v>NO-GO</v>
      </c>
    </row>
    <row r="76" spans="1:4">
      <c r="A76" s="2"/>
      <c r="D76" s="2"/>
    </row>
    <row r="78" spans="1:4">
      <c r="A78" s="2" t="s">
        <v>973</v>
      </c>
    </row>
    <row r="79" spans="1:4">
      <c r="A79" s="2" t="s">
        <v>963</v>
      </c>
      <c r="B79" s="2" t="s">
        <v>964</v>
      </c>
      <c r="C79" s="2" t="s">
        <v>965</v>
      </c>
      <c r="D79" s="2" t="s">
        <v>707</v>
      </c>
    </row>
    <row r="80" spans="1:4">
      <c r="A80" s="10" t="s">
        <v>968</v>
      </c>
      <c r="B80" s="10" t="s">
        <v>974</v>
      </c>
      <c r="C80" s="10">
        <f>D4</f>
        <v>0</v>
      </c>
      <c r="D80" s="10" t="str">
        <f>IF(D4&gt;=0.97,"OK","Belum OK")</f>
        <v>Belum OK</v>
      </c>
    </row>
    <row r="81" spans="1:4">
      <c r="A81" s="10" t="s">
        <v>970</v>
      </c>
      <c r="B81" s="10">
        <f>0</f>
        <v>0</v>
      </c>
      <c r="C81" s="10">
        <f>E4</f>
        <v>0</v>
      </c>
      <c r="D81" s="10" t="str">
        <f>IF(E4=0,"OK","Belum OK")</f>
        <v>OK</v>
      </c>
    </row>
    <row r="82" spans="1:4">
      <c r="A82" s="10" t="s">
        <v>975</v>
      </c>
      <c r="B82" s="10">
        <f>0</f>
        <v>0</v>
      </c>
      <c r="C82" s="10">
        <f>D7</f>
        <v>0</v>
      </c>
      <c r="D82" s="10" t="str">
        <f>IF(D7=0,"OK","Belum OK")</f>
        <v>OK</v>
      </c>
    </row>
    <row r="83" spans="1:4">
      <c r="A83" s="10" t="s">
        <v>976</v>
      </c>
      <c r="B83" s="10" t="e">
        <f>Ya</f>
        <v>#NAME?</v>
      </c>
      <c r="C83" s="10"/>
      <c r="D83" s="10" t="str">
        <f>IF(C83="Ya","OK","Belum OK")</f>
        <v>Belum OK</v>
      </c>
    </row>
    <row r="84" spans="1:4">
      <c r="A84" s="10" t="s">
        <v>977</v>
      </c>
      <c r="B84" s="10" t="e">
        <f>Ya</f>
        <v>#NAME?</v>
      </c>
      <c r="C84" s="10"/>
      <c r="D84" s="10" t="str">
        <f>IF(C84="Ya","OK","Belum OK")</f>
        <v>Belum OK</v>
      </c>
    </row>
    <row r="85" spans="1:4">
      <c r="A85" s="11" t="s">
        <v>978</v>
      </c>
      <c r="B85" s="10" t="s">
        <v>972</v>
      </c>
      <c r="C85" s="10"/>
      <c r="D85" s="11" t="str">
        <f>IF(COUNTIF(D80:D84,"OK")=ROWS(D80:D84),"GO","NO-GO")</f>
        <v>NO-GO</v>
      </c>
    </row>
  </sheetData>
  <conditionalFormatting sqref="D71:D74">
    <cfRule type="expression" dxfId="7" priority="1">
      <formula>D71="OK"</formula>
    </cfRule>
    <cfRule type="expression" dxfId="6" priority="2">
      <formula>D71&lt;&gt;"OK"</formula>
    </cfRule>
  </conditionalFormatting>
  <conditionalFormatting sqref="D75:D76">
    <cfRule type="expression" dxfId="5" priority="3">
      <formula>D75="GO"</formula>
    </cfRule>
    <cfRule type="expression" dxfId="4" priority="4">
      <formula>D75="NO-GO"</formula>
    </cfRule>
  </conditionalFormatting>
  <conditionalFormatting sqref="D80:D84">
    <cfRule type="expression" dxfId="3" priority="5">
      <formula>D80="OK"</formula>
    </cfRule>
    <cfRule type="expression" dxfId="2" priority="6">
      <formula>D80&lt;&gt;"OK"</formula>
    </cfRule>
  </conditionalFormatting>
  <conditionalFormatting sqref="D85">
    <cfRule type="expression" dxfId="1" priority="7">
      <formula>D85="GO"</formula>
    </cfRule>
    <cfRule type="expression" dxfId="0" priority="8">
      <formula>D85="NO-GO"</formula>
    </cfRule>
  </conditionalFormatting>
  <dataValidations count="1">
    <dataValidation type="list" allowBlank="1" sqref="C83:C84" xr:uid="{00000000-0002-0000-0900-000000000000}">
      <formula1>"Ya,Tidak"</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MAPPING MD &amp; SKENARIO</vt:lpstr>
      <vt:lpstr>MATRIX KONTRAK</vt:lpstr>
      <vt:lpstr>TEST CASES</vt:lpstr>
      <vt:lpstr>DASHBOARD PROGRESS</vt:lpstr>
      <vt:lpstr>DEFECT LOG</vt:lpstr>
      <vt:lpstr>PANDUAN</vt:lpstr>
      <vt:lpstr>LOOKUP</vt:lpstr>
      <vt:lpstr>RTM</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ADITYO NUGROHO</dc:creator>
  <cp:keywords/>
  <dc:description/>
  <cp:lastModifiedBy>fxadityonugroho</cp:lastModifiedBy>
  <cp:revision/>
  <dcterms:created xsi:type="dcterms:W3CDTF">2024-09-11T03:10:00Z</dcterms:created>
  <dcterms:modified xsi:type="dcterms:W3CDTF">2026-06-05T03:39:25Z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MUF\19012749</vt:lpwstr>
  </property>
  <property fmtid="{D5CDD505-2E9C-101B-9397-08002B2CF9AE}" pid="4" name="DLPManualFileClassificationLastModificationDate">
    <vt:lpwstr>1760425378</vt:lpwstr>
  </property>
  <property fmtid="{D5CDD505-2E9C-101B-9397-08002B2CF9AE}" pid="5" name="DLPManualFileClassificationVersion">
    <vt:lpwstr>11.10.100.17</vt:lpwstr>
  </property>
  <property fmtid="{D5CDD505-2E9C-101B-9397-08002B2CF9AE}" pid="6" name="ICV">
    <vt:lpwstr>4661446BDDD84B078201C943F7DFC1C3_12</vt:lpwstr>
  </property>
  <property fmtid="{D5CDD505-2E9C-101B-9397-08002B2CF9AE}" pid="7" name="KSOProductBuildVer">
    <vt:lpwstr>1033-12.1.0.25180</vt:lpwstr>
  </property>
  <property fmtid="{D5CDD505-2E9C-101B-9397-08002B2CF9AE}" pid="8" name="CalculationRule">
    <vt:i4>0</vt:i4>
  </property>
</Properties>
</file>